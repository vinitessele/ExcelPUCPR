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drawings/drawing5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B6124F1A-AFFB-F854-7757-9A1D4C6FC43C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euDriver\Aulas Univel\Orientações\"/>
    </mc:Choice>
  </mc:AlternateContent>
  <xr:revisionPtr revIDLastSave="0" documentId="13_ncr:1_{B405DD80-A2D6-4E4F-A6D6-CAD2E002D263}" xr6:coauthVersionLast="47" xr6:coauthVersionMax="47" xr10:uidLastSave="{00000000-0000-0000-0000-000000000000}"/>
  <bookViews>
    <workbookView xWindow="-120" yWindow="-120" windowWidth="29040" windowHeight="15840" xr2:uid="{4CFB8570-0FD0-4327-B861-FC908035A2E4}"/>
  </bookViews>
  <sheets>
    <sheet name="Pagamentos Recebimentos" sheetId="5" r:id="rId1"/>
    <sheet name="Movimentação EntradaSaída" sheetId="3" r:id="rId2"/>
    <sheet name="MovimentoCaixa" sheetId="2" r:id="rId3"/>
    <sheet name="MovimentoEstoque" sheetId="9" r:id="rId4"/>
    <sheet name="Dashboard" sheetId="7" r:id="rId5"/>
    <sheet name="Estoque" sheetId="1" r:id="rId6"/>
    <sheet name="Cliente-Fornecedor" sheetId="6" r:id="rId7"/>
    <sheet name="Produtos" sheetId="8" r:id="rId8"/>
    <sheet name="Parâmetros" sheetId="4" r:id="rId9"/>
  </sheets>
  <definedNames>
    <definedName name="NativeTimeline_Data">#N/A</definedName>
    <definedName name="NativeTimeline_Data1">#N/A</definedName>
    <definedName name="SegmentaçãodeDados_Forma_de_Pagamento">#N/A</definedName>
    <definedName name="SegmentaçãodeDados_Produto">#N/A</definedName>
    <definedName name="SegmentaçãodeDados_Tipo">#N/A</definedName>
    <definedName name="SegmentaçãodeDados_Tipo_Entradas">#N/A</definedName>
    <definedName name="SegmentaçãodeDados_Tipo_Saída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7"/>
        <x15:timelineCacheRef r:id="rId1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8" l="1"/>
  <c r="C7" i="8"/>
  <c r="A40" i="7"/>
  <c r="D40" i="7" s="1"/>
  <c r="A39" i="7"/>
  <c r="D39" i="7" s="1"/>
  <c r="L6" i="7"/>
  <c r="N10" i="7"/>
  <c r="B40" i="7" l="1"/>
  <c r="C39" i="7"/>
  <c r="C40" i="7"/>
  <c r="B39" i="7"/>
  <c r="H14" i="7" l="1"/>
  <c r="H13" i="7"/>
  <c r="E14" i="7"/>
  <c r="D6" i="1"/>
  <c r="G6" i="1" s="1"/>
  <c r="D7" i="1"/>
  <c r="G7" i="1" s="1"/>
  <c r="C6" i="1"/>
  <c r="F6" i="1" s="1"/>
  <c r="C7" i="1"/>
  <c r="F7" i="1" s="1"/>
  <c r="D6" i="8"/>
  <c r="D7" i="8"/>
  <c r="F19" i="7"/>
  <c r="F20" i="7"/>
  <c r="F21" i="7"/>
  <c r="F22" i="7"/>
  <c r="F18" i="7"/>
  <c r="C19" i="7"/>
  <c r="C20" i="7"/>
  <c r="C18" i="7"/>
  <c r="K10" i="7"/>
  <c r="H11" i="7"/>
  <c r="H12" i="7"/>
  <c r="H10" i="7"/>
  <c r="E11" i="7"/>
  <c r="E12" i="7"/>
  <c r="E13" i="7"/>
  <c r="E10" i="7"/>
  <c r="B11" i="7"/>
  <c r="B12" i="7"/>
  <c r="A10" i="7"/>
  <c r="B10" i="7" s="1"/>
  <c r="I21" i="7" l="1"/>
  <c r="I22" i="7"/>
  <c r="H9" i="7"/>
  <c r="E9" i="7"/>
  <c r="M20" i="7"/>
  <c r="E7" i="1"/>
  <c r="F17" i="7"/>
  <c r="B9" i="7"/>
  <c r="C17" i="7"/>
  <c r="F14" i="7" s="1"/>
  <c r="E6" i="1"/>
  <c r="H7" i="1" l="1"/>
  <c r="E40" i="7"/>
  <c r="H6" i="1"/>
  <c r="E39" i="7"/>
  <c r="I6" i="7"/>
  <c r="I11" i="7"/>
  <c r="C12" i="7"/>
  <c r="F13" i="7"/>
  <c r="I14" i="7"/>
  <c r="F11" i="7"/>
  <c r="M18" i="7"/>
  <c r="F6" i="7" s="1"/>
  <c r="B6" i="7" s="1"/>
  <c r="C11" i="7"/>
  <c r="F10" i="7"/>
  <c r="I10" i="7"/>
  <c r="I12" i="7"/>
  <c r="I13" i="7"/>
  <c r="C10" i="7"/>
  <c r="F12" i="7"/>
  <c r="E8" i="7"/>
  <c r="H8" i="7"/>
  <c r="B8" i="7"/>
  <c r="N8" i="7"/>
  <c r="K8" i="7"/>
  <c r="I19" i="7"/>
  <c r="I20" i="7"/>
  <c r="I18" i="7"/>
  <c r="B35" i="7" l="1"/>
  <c r="I17" i="7"/>
  <c r="M19" i="7" s="1"/>
  <c r="M17" i="7" s="1"/>
  <c r="M21" i="7" s="1"/>
</calcChain>
</file>

<file path=xl/sharedStrings.xml><?xml version="1.0" encoding="utf-8"?>
<sst xmlns="http://schemas.openxmlformats.org/spreadsheetml/2006/main" count="453" uniqueCount="120">
  <si>
    <t>Tipo</t>
  </si>
  <si>
    <t>Entrada</t>
  </si>
  <si>
    <t>Saída</t>
  </si>
  <si>
    <t>Produtos</t>
  </si>
  <si>
    <t>Produto</t>
  </si>
  <si>
    <t>Quantidade</t>
  </si>
  <si>
    <t>Estoque Inicial</t>
  </si>
  <si>
    <t>Entradas</t>
  </si>
  <si>
    <t>Saídas</t>
  </si>
  <si>
    <t>Estoque Atual</t>
  </si>
  <si>
    <t>iphone 14s</t>
  </si>
  <si>
    <t>Samsung Galaxy S22</t>
  </si>
  <si>
    <t>Data</t>
  </si>
  <si>
    <t>Valor Total</t>
  </si>
  <si>
    <t>Valor Médio Unitário Compra</t>
  </si>
  <si>
    <t>Valor Médio Unitário Venda</t>
  </si>
  <si>
    <t>Controle de Estoque</t>
  </si>
  <si>
    <t>Descrição</t>
  </si>
  <si>
    <t>Pagamento/Fornecedor</t>
  </si>
  <si>
    <t>Salários</t>
  </si>
  <si>
    <t xml:space="preserve">Aluguel </t>
  </si>
  <si>
    <t>Água</t>
  </si>
  <si>
    <t>Internet</t>
  </si>
  <si>
    <t>Luz</t>
  </si>
  <si>
    <t>Gasolina</t>
  </si>
  <si>
    <t>Financiamento</t>
  </si>
  <si>
    <t>Despesas Diversas</t>
  </si>
  <si>
    <t>Contador</t>
  </si>
  <si>
    <t>Acicla</t>
  </si>
  <si>
    <t>Tipo Movimento Entradas</t>
  </si>
  <si>
    <t>Tipo Movimento Saídas</t>
  </si>
  <si>
    <t>Vendas Avista</t>
  </si>
  <si>
    <t>Forma Pagamento</t>
  </si>
  <si>
    <t>Dinheiro</t>
  </si>
  <si>
    <t>Débito</t>
  </si>
  <si>
    <t>Crédito</t>
  </si>
  <si>
    <t>Pix</t>
  </si>
  <si>
    <t>Cheque</t>
  </si>
  <si>
    <t>Recebimento Parcelas</t>
  </si>
  <si>
    <t>Tipo Entradas</t>
  </si>
  <si>
    <t>Forma de Pagamento</t>
  </si>
  <si>
    <t>Tipo Saída</t>
  </si>
  <si>
    <t>Cliente</t>
  </si>
  <si>
    <t>Cliente/Fornecedor</t>
  </si>
  <si>
    <t>Cadastro Cliente/Fornecedor</t>
  </si>
  <si>
    <t>Nome</t>
  </si>
  <si>
    <t>Endereço</t>
  </si>
  <si>
    <t>Telefone</t>
  </si>
  <si>
    <t>Fornecedor</t>
  </si>
  <si>
    <t>Vinicius Tessele</t>
  </si>
  <si>
    <t>Rua Tal</t>
  </si>
  <si>
    <t xml:space="preserve">compra de um celular </t>
  </si>
  <si>
    <t>Venda de celuar em 10x</t>
  </si>
  <si>
    <t>Valor Recebido/Pago</t>
  </si>
  <si>
    <t>Samsung do Brasil</t>
  </si>
  <si>
    <t>SP</t>
  </si>
  <si>
    <t>Compra de 10 Celulares</t>
  </si>
  <si>
    <t>Colaborador</t>
  </si>
  <si>
    <t>Pagamento Salário mês de outubro</t>
  </si>
  <si>
    <t>Layna</t>
  </si>
  <si>
    <t>Dono do Aluguel</t>
  </si>
  <si>
    <t>Outros</t>
  </si>
  <si>
    <t>VisaoNet</t>
  </si>
  <si>
    <t>(vazio)</t>
  </si>
  <si>
    <t>Relatório de Movimentação do Caixa</t>
  </si>
  <si>
    <t>Vendas parcelado / Entrada</t>
  </si>
  <si>
    <t>Recebimento 1/10</t>
  </si>
  <si>
    <t>Despesas Fixas</t>
  </si>
  <si>
    <t>Nayara</t>
  </si>
  <si>
    <t>Karla</t>
  </si>
  <si>
    <t>Karol</t>
  </si>
  <si>
    <t>Total</t>
  </si>
  <si>
    <t>Finaciamento</t>
  </si>
  <si>
    <t>Sanepar</t>
  </si>
  <si>
    <t>Copel</t>
  </si>
  <si>
    <t>sanepar</t>
  </si>
  <si>
    <t>agua mês 10</t>
  </si>
  <si>
    <t>copel</t>
  </si>
  <si>
    <t>luz mês 10</t>
  </si>
  <si>
    <t>Variáveis</t>
  </si>
  <si>
    <t>Resultado</t>
  </si>
  <si>
    <t>Desp/Fixas</t>
  </si>
  <si>
    <t>Desp/Variáveis</t>
  </si>
  <si>
    <t>Desp/Diversas</t>
  </si>
  <si>
    <t>Pgto Fornec.</t>
  </si>
  <si>
    <t>Vendas</t>
  </si>
  <si>
    <t>Despesas</t>
  </si>
  <si>
    <t>Lançamento de entradas e saídas de produtos</t>
  </si>
  <si>
    <t>Cadastro Produtos</t>
  </si>
  <si>
    <t>Valor Custo</t>
  </si>
  <si>
    <t>Valor Venda</t>
  </si>
  <si>
    <t>Margem</t>
  </si>
  <si>
    <t>Lançamento de Pagamentos e Recebimentos</t>
  </si>
  <si>
    <t>Valor Total em Estoque</t>
  </si>
  <si>
    <t xml:space="preserve">Valor Total </t>
  </si>
  <si>
    <t>Margem de Lucro</t>
  </si>
  <si>
    <t>Vendas /Recebimentos Mês</t>
  </si>
  <si>
    <t>Margem de Contribuição</t>
  </si>
  <si>
    <t>Total Despesas</t>
  </si>
  <si>
    <t>Taxa Cartão</t>
  </si>
  <si>
    <t>Imposto</t>
  </si>
  <si>
    <t>Cielo</t>
  </si>
  <si>
    <t>Governo</t>
  </si>
  <si>
    <t>Faturamento</t>
  </si>
  <si>
    <t>% em relação ao Faturamento</t>
  </si>
  <si>
    <t xml:space="preserve">Ponto de Equilibrio </t>
  </si>
  <si>
    <t>Mark-up</t>
  </si>
  <si>
    <t>Lucro Desejado</t>
  </si>
  <si>
    <t>Margem Lucro Liquido</t>
  </si>
  <si>
    <t>Financeiro</t>
  </si>
  <si>
    <t>Apresentação dos Resultados</t>
  </si>
  <si>
    <t>Estoque</t>
  </si>
  <si>
    <t>Relatório de Movimentação de Estoque</t>
  </si>
  <si>
    <t>Qte Vendida</t>
  </si>
  <si>
    <t>Qte Em Estoque</t>
  </si>
  <si>
    <t>Qte Entrada</t>
  </si>
  <si>
    <t>Porcentagem de vendas por produto $</t>
  </si>
  <si>
    <t>Porcentagem de Quantidade compras por produto</t>
  </si>
  <si>
    <t>Pgamento Luz mês 10</t>
  </si>
  <si>
    <t xml:space="preserve">Compra Celuar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</si>
</sst>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000000"/>
      <name val="Arial Black"/>
      <family val="2"/>
    </font>
    <font>
      <b/>
      <sz val="12"/>
      <color theme="1"/>
      <name val="Calibri"/>
      <family val="2"/>
      <scheme val="minor"/>
    </font>
    <font>
      <b/>
      <sz val="11"/>
      <color rgb="FF000000"/>
      <name val="Arial Black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14" fontId="0" fillId="0" borderId="0" xfId="0" applyNumberFormat="1"/>
    <xf numFmtId="44" fontId="0" fillId="0" borderId="0" xfId="1" applyFont="1"/>
    <xf numFmtId="44" fontId="0" fillId="0" borderId="0" xfId="1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0" xfId="0" pivotButton="1"/>
    <xf numFmtId="44" fontId="0" fillId="0" borderId="0" xfId="0" applyNumberFormat="1"/>
    <xf numFmtId="0" fontId="0" fillId="4" borderId="0" xfId="0" applyFill="1"/>
    <xf numFmtId="0" fontId="6" fillId="0" borderId="0" xfId="0" applyFont="1"/>
    <xf numFmtId="0" fontId="0" fillId="0" borderId="2" xfId="0" applyBorder="1"/>
    <xf numFmtId="0" fontId="5" fillId="3" borderId="0" xfId="0" applyFont="1" applyFill="1"/>
    <xf numFmtId="0" fontId="6" fillId="0" borderId="2" xfId="0" applyFont="1" applyBorder="1"/>
    <xf numFmtId="44" fontId="2" fillId="0" borderId="0" xfId="0" applyNumberFormat="1" applyFont="1"/>
    <xf numFmtId="0" fontId="6" fillId="0" borderId="2" xfId="0" applyFont="1" applyBorder="1" applyAlignment="1">
      <alignment horizontal="left"/>
    </xf>
    <xf numFmtId="44" fontId="6" fillId="0" borderId="2" xfId="0" applyNumberFormat="1" applyFont="1" applyBorder="1"/>
    <xf numFmtId="44" fontId="6" fillId="5" borderId="2" xfId="0" applyNumberFormat="1" applyFont="1" applyFill="1" applyBorder="1"/>
    <xf numFmtId="0" fontId="2" fillId="0" borderId="0" xfId="0" applyFont="1"/>
    <xf numFmtId="44" fontId="6" fillId="0" borderId="2" xfId="1" applyFont="1" applyBorder="1"/>
    <xf numFmtId="44" fontId="6" fillId="6" borderId="2" xfId="0" applyNumberFormat="1" applyFont="1" applyFill="1" applyBorder="1"/>
    <xf numFmtId="0" fontId="0" fillId="7" borderId="0" xfId="0" applyFill="1"/>
    <xf numFmtId="9" fontId="0" fillId="0" borderId="0" xfId="2" applyFon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2" applyFont="1"/>
    <xf numFmtId="10" fontId="9" fillId="0" borderId="0" xfId="2" applyNumberFormat="1" applyFont="1" applyAlignment="1">
      <alignment vertical="center" wrapText="1"/>
    </xf>
    <xf numFmtId="9" fontId="9" fillId="0" borderId="0" xfId="2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6" fillId="8" borderId="0" xfId="0" applyFont="1" applyFill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44" fontId="9" fillId="0" borderId="0" xfId="0" applyNumberFormat="1" applyFont="1" applyAlignment="1">
      <alignment horizontal="left" vertical="center" wrapText="1"/>
    </xf>
    <xf numFmtId="10" fontId="10" fillId="8" borderId="0" xfId="2" applyNumberFormat="1" applyFont="1" applyFill="1" applyBorder="1" applyAlignment="1">
      <alignment horizontal="center" vertical="center"/>
    </xf>
    <xf numFmtId="10" fontId="10" fillId="8" borderId="0" xfId="0" applyNumberFormat="1" applyFont="1" applyFill="1" applyAlignment="1">
      <alignment horizontal="center" vertical="center"/>
    </xf>
    <xf numFmtId="10" fontId="8" fillId="0" borderId="0" xfId="2" applyNumberFormat="1" applyFont="1" applyAlignment="1">
      <alignment horizontal="left"/>
    </xf>
    <xf numFmtId="44" fontId="1" fillId="0" borderId="0" xfId="1" applyFont="1"/>
    <xf numFmtId="0" fontId="11" fillId="0" borderId="0" xfId="0" applyFont="1" applyAlignment="1">
      <alignment horizontal="left" vertical="center" wrapText="1"/>
    </xf>
    <xf numFmtId="2" fontId="12" fillId="0" borderId="0" xfId="0" applyNumberFormat="1" applyFont="1"/>
    <xf numFmtId="0" fontId="0" fillId="0" borderId="0" xfId="0" pivotButton="1" applyAlignment="1">
      <alignment horizontal="center"/>
    </xf>
    <xf numFmtId="1" fontId="0" fillId="0" borderId="0" xfId="1" applyNumberFormat="1" applyFont="1" applyAlignment="1">
      <alignment horizontal="center"/>
    </xf>
    <xf numFmtId="2" fontId="9" fillId="0" borderId="0" xfId="1" applyNumberFormat="1" applyFont="1" applyAlignment="1">
      <alignment horizontal="left" vertical="center" wrapText="1"/>
    </xf>
    <xf numFmtId="164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9" fontId="9" fillId="0" borderId="0" xfId="2" applyFont="1" applyAlignment="1">
      <alignment horizontal="center" vertical="center" wrapText="1"/>
    </xf>
    <xf numFmtId="0" fontId="5" fillId="3" borderId="0" xfId="0" applyFont="1" applyFill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38"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11/relationships/timelineCache" Target="timelineCaches/timelineCache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B9-459B-AEEF-5E4A96FCC0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B9-459B-AEEF-5E4A96FCC0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Dashboard!$A$39:$A$40</c:f>
              <c:strCache>
                <c:ptCount val="2"/>
                <c:pt idx="0">
                  <c:v>Samsung Galaxy S22</c:v>
                </c:pt>
                <c:pt idx="1">
                  <c:v>iphone 14s</c:v>
                </c:pt>
              </c:strCache>
            </c:strRef>
          </c:cat>
          <c:val>
            <c:numRef>
              <c:f>Dashboard!$B$39:$B$40</c:f>
              <c:numCache>
                <c:formatCode>_("R$"* #,##0.00_);_("R$"* \(#,##0.00\);_("R$"* "-"??_);_(@_)</c:formatCode>
                <c:ptCount val="2"/>
                <c:pt idx="0">
                  <c:v>31000</c:v>
                </c:pt>
                <c:pt idx="1">
                  <c:v>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F-42CF-BF6F-799487EEBA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1B-4C9C-A668-DD12F996B2A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1B-4C9C-A668-DD12F996B2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Dashboard!$A$39:$A$40</c:f>
              <c:strCache>
                <c:ptCount val="2"/>
                <c:pt idx="0">
                  <c:v>Samsung Galaxy S22</c:v>
                </c:pt>
                <c:pt idx="1">
                  <c:v>iphone 14s</c:v>
                </c:pt>
              </c:strCache>
            </c:strRef>
          </c:cat>
          <c:val>
            <c:numRef>
              <c:f>Dashboard!$D$39:$D$40</c:f>
              <c:numCache>
                <c:formatCode>0</c:formatCode>
                <c:ptCount val="2"/>
                <c:pt idx="0">
                  <c:v>13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1B-4C9C-A668-DD12F996B2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MovimentoCaixa!A1"/><Relationship Id="rId7" Type="http://schemas.openxmlformats.org/officeDocument/2006/relationships/hyperlink" Target="#Produtos!A1"/><Relationship Id="rId2" Type="http://schemas.openxmlformats.org/officeDocument/2006/relationships/hyperlink" Target="#'Movimenta&#231;&#227;o EntradaSa&#237;da'!A1"/><Relationship Id="rId1" Type="http://schemas.openxmlformats.org/officeDocument/2006/relationships/hyperlink" Target="#'Pagamentos Recebimentos'!A1"/><Relationship Id="rId6" Type="http://schemas.openxmlformats.org/officeDocument/2006/relationships/hyperlink" Target="#'Cliente-Fornecedor'!A1"/><Relationship Id="rId5" Type="http://schemas.openxmlformats.org/officeDocument/2006/relationships/hyperlink" Target="#Dashboard!A1"/><Relationship Id="rId4" Type="http://schemas.openxmlformats.org/officeDocument/2006/relationships/hyperlink" Target="#Estoque!A1"/><Relationship Id="rId9" Type="http://schemas.openxmlformats.org/officeDocument/2006/relationships/hyperlink" Target="#MovimentoEstoqu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7" Type="http://schemas.openxmlformats.org/officeDocument/2006/relationships/hyperlink" Target="#MovimentoEstoque!A1"/><Relationship Id="rId2" Type="http://schemas.openxmlformats.org/officeDocument/2006/relationships/hyperlink" Target="#MovimentoCaixa!A1"/><Relationship Id="rId1" Type="http://schemas.openxmlformats.org/officeDocument/2006/relationships/hyperlink" Target="#'Pagamentos Recebimentos'!A1"/><Relationship Id="rId6" Type="http://schemas.openxmlformats.org/officeDocument/2006/relationships/hyperlink" Target="#Produtos!A1"/><Relationship Id="rId5" Type="http://schemas.openxmlformats.org/officeDocument/2006/relationships/hyperlink" Target="#'Cliente-Fornecedor'!A1"/><Relationship Id="rId4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7" Type="http://schemas.openxmlformats.org/officeDocument/2006/relationships/hyperlink" Target="#MovimentoEstoque!A1"/><Relationship Id="rId2" Type="http://schemas.openxmlformats.org/officeDocument/2006/relationships/hyperlink" Target="#'Movimenta&#231;&#227;o EntradaSa&#237;da'!A1"/><Relationship Id="rId1" Type="http://schemas.openxmlformats.org/officeDocument/2006/relationships/hyperlink" Target="#'Pagamentos Recebimentos'!A1"/><Relationship Id="rId6" Type="http://schemas.openxmlformats.org/officeDocument/2006/relationships/hyperlink" Target="#Produtos!A1"/><Relationship Id="rId5" Type="http://schemas.openxmlformats.org/officeDocument/2006/relationships/hyperlink" Target="#'Cliente-Fornecedor'!A1"/><Relationship Id="rId4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ovimentoCaixa!A1"/><Relationship Id="rId7" Type="http://schemas.openxmlformats.org/officeDocument/2006/relationships/hyperlink" Target="#Produtos!A1"/><Relationship Id="rId2" Type="http://schemas.openxmlformats.org/officeDocument/2006/relationships/hyperlink" Target="#'Movimenta&#231;&#227;o EntradaSa&#237;da'!A1"/><Relationship Id="rId1" Type="http://schemas.openxmlformats.org/officeDocument/2006/relationships/hyperlink" Target="#'Pagamentos Recebimentos'!A1"/><Relationship Id="rId6" Type="http://schemas.openxmlformats.org/officeDocument/2006/relationships/hyperlink" Target="#'Cliente-Fornecedor'!A1"/><Relationship Id="rId5" Type="http://schemas.openxmlformats.org/officeDocument/2006/relationships/hyperlink" Target="#Dashboard!A1"/><Relationship Id="rId4" Type="http://schemas.openxmlformats.org/officeDocument/2006/relationships/hyperlink" Target="#Estoqu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MovimentoCaixa!A1"/><Relationship Id="rId7" Type="http://schemas.openxmlformats.org/officeDocument/2006/relationships/hyperlink" Target="#MovimentoEstoque!A1"/><Relationship Id="rId2" Type="http://schemas.openxmlformats.org/officeDocument/2006/relationships/hyperlink" Target="#'Movimenta&#231;&#227;o EntradaSa&#237;da'!A1"/><Relationship Id="rId1" Type="http://schemas.openxmlformats.org/officeDocument/2006/relationships/hyperlink" Target="#'Pagamentos Recebimentos'!A1"/><Relationship Id="rId6" Type="http://schemas.openxmlformats.org/officeDocument/2006/relationships/hyperlink" Target="#Produtos!A1"/><Relationship Id="rId5" Type="http://schemas.openxmlformats.org/officeDocument/2006/relationships/hyperlink" Target="#'Cliente-Fornecedor'!A1"/><Relationship Id="rId4" Type="http://schemas.openxmlformats.org/officeDocument/2006/relationships/hyperlink" Target="#Estoque!A1"/><Relationship Id="rId9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ovimentoCaixa!A1"/><Relationship Id="rId7" Type="http://schemas.openxmlformats.org/officeDocument/2006/relationships/hyperlink" Target="#MovimentoEstoque!A1"/><Relationship Id="rId2" Type="http://schemas.openxmlformats.org/officeDocument/2006/relationships/hyperlink" Target="#'Movimenta&#231;&#227;o EntradaSa&#237;da'!A1"/><Relationship Id="rId1" Type="http://schemas.openxmlformats.org/officeDocument/2006/relationships/hyperlink" Target="#'Pagamentos Recebimentos'!A1"/><Relationship Id="rId6" Type="http://schemas.openxmlformats.org/officeDocument/2006/relationships/hyperlink" Target="#Produtos!A1"/><Relationship Id="rId5" Type="http://schemas.openxmlformats.org/officeDocument/2006/relationships/hyperlink" Target="#'Cliente-Fornecedor'!A1"/><Relationship Id="rId4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ovimentoCaixa!A1"/><Relationship Id="rId7" Type="http://schemas.openxmlformats.org/officeDocument/2006/relationships/hyperlink" Target="#MovimentoEstoque!A1"/><Relationship Id="rId2" Type="http://schemas.openxmlformats.org/officeDocument/2006/relationships/hyperlink" Target="#'Movimenta&#231;&#227;o EntradaSa&#237;da'!A1"/><Relationship Id="rId1" Type="http://schemas.openxmlformats.org/officeDocument/2006/relationships/hyperlink" Target="#'Pagamentos Recebimentos'!A1"/><Relationship Id="rId6" Type="http://schemas.openxmlformats.org/officeDocument/2006/relationships/hyperlink" Target="#Produtos!A1"/><Relationship Id="rId5" Type="http://schemas.openxmlformats.org/officeDocument/2006/relationships/hyperlink" Target="#Dashboard!A1"/><Relationship Id="rId4" Type="http://schemas.openxmlformats.org/officeDocument/2006/relationships/hyperlink" Target="#Estoqu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ovimentoCaixa!A1"/><Relationship Id="rId2" Type="http://schemas.openxmlformats.org/officeDocument/2006/relationships/hyperlink" Target="#'Movimenta&#231;&#227;o EntradaSa&#237;da'!A1"/><Relationship Id="rId1" Type="http://schemas.openxmlformats.org/officeDocument/2006/relationships/hyperlink" Target="#'Pagamentos Recebimentos'!A1"/><Relationship Id="rId6" Type="http://schemas.openxmlformats.org/officeDocument/2006/relationships/hyperlink" Target="#MovimentoEstoque!A1"/><Relationship Id="rId5" Type="http://schemas.openxmlformats.org/officeDocument/2006/relationships/hyperlink" Target="#Dashboard!A1"/><Relationship Id="rId4" Type="http://schemas.openxmlformats.org/officeDocument/2006/relationships/hyperlink" Target="#Estoqu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95250</xdr:rowOff>
    </xdr:from>
    <xdr:to>
      <xdr:col>1</xdr:col>
      <xdr:colOff>619124</xdr:colOff>
      <xdr:row>1</xdr:row>
      <xdr:rowOff>47625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D47588-2A40-4605-8B6D-35DCFAEC4F1B}"/>
            </a:ext>
          </a:extLst>
        </xdr:cNvPr>
        <xdr:cNvSpPr/>
      </xdr:nvSpPr>
      <xdr:spPr>
        <a:xfrm>
          <a:off x="104774" y="95250"/>
          <a:ext cx="1228725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Pagamentos e</a:t>
          </a:r>
        </a:p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Recebimento</a:t>
          </a:r>
        </a:p>
      </xdr:txBody>
    </xdr:sp>
    <xdr:clientData/>
  </xdr:twoCellAnchor>
  <xdr:twoCellAnchor editAs="oneCell">
    <xdr:from>
      <xdr:col>2</xdr:col>
      <xdr:colOff>136524</xdr:colOff>
      <xdr:row>0</xdr:row>
      <xdr:rowOff>95250</xdr:rowOff>
    </xdr:from>
    <xdr:to>
      <xdr:col>2</xdr:col>
      <xdr:colOff>1441450</xdr:colOff>
      <xdr:row>1</xdr:row>
      <xdr:rowOff>47625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220617-9021-4CC8-B803-7E987167210E}"/>
            </a:ext>
          </a:extLst>
        </xdr:cNvPr>
        <xdr:cNvSpPr/>
      </xdr:nvSpPr>
      <xdr:spPr>
        <a:xfrm>
          <a:off x="2012949" y="95250"/>
          <a:ext cx="1304926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Movimentação Entradas</a:t>
          </a:r>
          <a:r>
            <a:rPr lang="pt-BR" sz="1200" b="1" baseline="0"/>
            <a:t> e Saídas</a:t>
          </a:r>
          <a:endParaRPr lang="pt-BR" sz="1200" b="1"/>
        </a:p>
      </xdr:txBody>
    </xdr:sp>
    <xdr:clientData/>
  </xdr:twoCellAnchor>
  <xdr:twoCellAnchor editAs="oneCell">
    <xdr:from>
      <xdr:col>3</xdr:col>
      <xdr:colOff>625475</xdr:colOff>
      <xdr:row>0</xdr:row>
      <xdr:rowOff>95250</xdr:rowOff>
    </xdr:from>
    <xdr:to>
      <xdr:col>4</xdr:col>
      <xdr:colOff>63500</xdr:colOff>
      <xdr:row>1</xdr:row>
      <xdr:rowOff>47625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321B9B-2AC0-4236-8017-C0A3DE61D7A3}"/>
            </a:ext>
          </a:extLst>
        </xdr:cNvPr>
        <xdr:cNvSpPr/>
      </xdr:nvSpPr>
      <xdr:spPr>
        <a:xfrm>
          <a:off x="3997325" y="9525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Movimento de Caixa</a:t>
          </a:r>
        </a:p>
      </xdr:txBody>
    </xdr:sp>
    <xdr:clientData/>
  </xdr:twoCellAnchor>
  <xdr:twoCellAnchor editAs="oneCell">
    <xdr:from>
      <xdr:col>4</xdr:col>
      <xdr:colOff>742950</xdr:colOff>
      <xdr:row>0</xdr:row>
      <xdr:rowOff>95250</xdr:rowOff>
    </xdr:from>
    <xdr:to>
      <xdr:col>4</xdr:col>
      <xdr:colOff>1971675</xdr:colOff>
      <xdr:row>1</xdr:row>
      <xdr:rowOff>47625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6EA3C3-BA0C-4327-93D8-6FB00BBE9618}"/>
            </a:ext>
          </a:extLst>
        </xdr:cNvPr>
        <xdr:cNvSpPr/>
      </xdr:nvSpPr>
      <xdr:spPr>
        <a:xfrm>
          <a:off x="5905500" y="9525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5</xdr:col>
      <xdr:colOff>298450</xdr:colOff>
      <xdr:row>0</xdr:row>
      <xdr:rowOff>95250</xdr:rowOff>
    </xdr:from>
    <xdr:to>
      <xdr:col>5</xdr:col>
      <xdr:colOff>1527175</xdr:colOff>
      <xdr:row>1</xdr:row>
      <xdr:rowOff>47625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EB8BFF-733F-46D2-9006-32A2F6F7FD43}"/>
            </a:ext>
          </a:extLst>
        </xdr:cNvPr>
        <xdr:cNvSpPr/>
      </xdr:nvSpPr>
      <xdr:spPr>
        <a:xfrm>
          <a:off x="7813675" y="9525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Dashboard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5</xdr:col>
      <xdr:colOff>2206625</xdr:colOff>
      <xdr:row>0</xdr:row>
      <xdr:rowOff>95250</xdr:rowOff>
    </xdr:from>
    <xdr:to>
      <xdr:col>6</xdr:col>
      <xdr:colOff>1082675</xdr:colOff>
      <xdr:row>1</xdr:row>
      <xdr:rowOff>47625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690939A-86C6-4407-879C-90218007B6BE}"/>
            </a:ext>
          </a:extLst>
        </xdr:cNvPr>
        <xdr:cNvSpPr/>
      </xdr:nvSpPr>
      <xdr:spPr>
        <a:xfrm>
          <a:off x="9721850" y="9525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Cliente</a:t>
          </a:r>
        </a:p>
        <a:p>
          <a:pPr algn="ctr"/>
          <a:r>
            <a:rPr lang="pt-BR" sz="1200" b="1"/>
            <a:t>Fornecedor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6</xdr:col>
      <xdr:colOff>1762125</xdr:colOff>
      <xdr:row>0</xdr:row>
      <xdr:rowOff>95250</xdr:rowOff>
    </xdr:from>
    <xdr:to>
      <xdr:col>8</xdr:col>
      <xdr:colOff>606277</xdr:colOff>
      <xdr:row>1</xdr:row>
      <xdr:rowOff>50346</xdr:rowOff>
    </xdr:to>
    <xdr:pic>
      <xdr:nvPicPr>
        <xdr:cNvPr id="2" name="Imagem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3F9E883-585A-4BE2-96BE-C9E4DC293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630025" y="95250"/>
          <a:ext cx="1225402" cy="621846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0</xdr:row>
      <xdr:rowOff>47625</xdr:rowOff>
    </xdr:from>
    <xdr:to>
      <xdr:col>12</xdr:col>
      <xdr:colOff>0</xdr:colOff>
      <xdr:row>1</xdr:row>
      <xdr:rowOff>0</xdr:rowOff>
    </xdr:to>
    <xdr:sp macro="" textlink="">
      <xdr:nvSpPr>
        <xdr:cNvPr id="9" name="Retângulo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E224CF1-A049-4810-B563-D1E956EC4B5B}"/>
            </a:ext>
          </a:extLst>
        </xdr:cNvPr>
        <xdr:cNvSpPr/>
      </xdr:nvSpPr>
      <xdr:spPr>
        <a:xfrm>
          <a:off x="13458825" y="476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Movimento de Estoque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85725</xdr:rowOff>
    </xdr:from>
    <xdr:to>
      <xdr:col>1</xdr:col>
      <xdr:colOff>457200</xdr:colOff>
      <xdr:row>1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B4A59E-E366-49E7-BC0F-FD828A027642}"/>
            </a:ext>
          </a:extLst>
        </xdr:cNvPr>
        <xdr:cNvSpPr/>
      </xdr:nvSpPr>
      <xdr:spPr>
        <a:xfrm>
          <a:off x="952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Pagamentos e</a:t>
          </a:r>
        </a:p>
        <a:p>
          <a:pPr algn="ctr"/>
          <a:r>
            <a:rPr lang="pt-BR" sz="1200" b="1"/>
            <a:t>Recebimento</a:t>
          </a:r>
        </a:p>
      </xdr:txBody>
    </xdr:sp>
    <xdr:clientData/>
  </xdr:twoCellAnchor>
  <xdr:twoCellAnchor editAs="oneCell">
    <xdr:from>
      <xdr:col>2</xdr:col>
      <xdr:colOff>244475</xdr:colOff>
      <xdr:row>0</xdr:row>
      <xdr:rowOff>85725</xdr:rowOff>
    </xdr:from>
    <xdr:to>
      <xdr:col>3</xdr:col>
      <xdr:colOff>330200</xdr:colOff>
      <xdr:row>1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07C963A-C7D3-462E-B896-5811CEE641A9}"/>
            </a:ext>
          </a:extLst>
        </xdr:cNvPr>
        <xdr:cNvSpPr/>
      </xdr:nvSpPr>
      <xdr:spPr>
        <a:xfrm>
          <a:off x="1901825" y="85725"/>
          <a:ext cx="1343025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Movimentação Entradas</a:t>
          </a:r>
          <a:r>
            <a:rPr lang="pt-BR" sz="1200" b="1" baseline="0">
              <a:solidFill>
                <a:schemeClr val="accent1">
                  <a:lumMod val="50000"/>
                </a:schemeClr>
              </a:solidFill>
            </a:rPr>
            <a:t> e Saídas</a:t>
          </a:r>
          <a:endParaRPr lang="pt-BR" sz="12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993775</xdr:colOff>
      <xdr:row>0</xdr:row>
      <xdr:rowOff>85725</xdr:rowOff>
    </xdr:from>
    <xdr:to>
      <xdr:col>4</xdr:col>
      <xdr:colOff>574675</xdr:colOff>
      <xdr:row>1</xdr:row>
      <xdr:rowOff>66675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56B01A2-83C6-4F49-B05A-82BC74CF0905}"/>
            </a:ext>
          </a:extLst>
        </xdr:cNvPr>
        <xdr:cNvSpPr/>
      </xdr:nvSpPr>
      <xdr:spPr>
        <a:xfrm>
          <a:off x="390842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Movimento de Caixa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85725</xdr:rowOff>
    </xdr:from>
    <xdr:to>
      <xdr:col>6</xdr:col>
      <xdr:colOff>238125</xdr:colOff>
      <xdr:row>1</xdr:row>
      <xdr:rowOff>66675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C87B07-3F0E-43E4-8B87-A456B6D208C4}"/>
            </a:ext>
          </a:extLst>
        </xdr:cNvPr>
        <xdr:cNvSpPr/>
      </xdr:nvSpPr>
      <xdr:spPr>
        <a:xfrm>
          <a:off x="580072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7</xdr:col>
      <xdr:colOff>292100</xdr:colOff>
      <xdr:row>0</xdr:row>
      <xdr:rowOff>85725</xdr:rowOff>
    </xdr:from>
    <xdr:to>
      <xdr:col>9</xdr:col>
      <xdr:colOff>301625</xdr:colOff>
      <xdr:row>1</xdr:row>
      <xdr:rowOff>66675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6E7218-124B-478E-A131-727FEB6A0394}"/>
            </a:ext>
          </a:extLst>
        </xdr:cNvPr>
        <xdr:cNvSpPr/>
      </xdr:nvSpPr>
      <xdr:spPr>
        <a:xfrm>
          <a:off x="769302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Dashboard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10</xdr:col>
      <xdr:colOff>355600</xdr:colOff>
      <xdr:row>0</xdr:row>
      <xdr:rowOff>85725</xdr:rowOff>
    </xdr:from>
    <xdr:to>
      <xdr:col>12</xdr:col>
      <xdr:colOff>365125</xdr:colOff>
      <xdr:row>1</xdr:row>
      <xdr:rowOff>66675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3CA0B12-B3EB-4A29-893D-020790A322A5}"/>
            </a:ext>
          </a:extLst>
        </xdr:cNvPr>
        <xdr:cNvSpPr/>
      </xdr:nvSpPr>
      <xdr:spPr>
        <a:xfrm>
          <a:off x="958532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Cliente</a:t>
          </a:r>
        </a:p>
        <a:p>
          <a:pPr algn="ctr"/>
          <a:r>
            <a:rPr lang="pt-BR" sz="1200" b="1"/>
            <a:t>Fornecedor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13</xdr:col>
      <xdr:colOff>0</xdr:colOff>
      <xdr:row>0</xdr:row>
      <xdr:rowOff>85725</xdr:rowOff>
    </xdr:from>
    <xdr:to>
      <xdr:col>15</xdr:col>
      <xdr:colOff>9525</xdr:colOff>
      <xdr:row>1</xdr:row>
      <xdr:rowOff>66675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315494F-C7E8-43F7-ACF3-F1B0BF1B3676}"/>
            </a:ext>
          </a:extLst>
        </xdr:cNvPr>
        <xdr:cNvSpPr/>
      </xdr:nvSpPr>
      <xdr:spPr>
        <a:xfrm>
          <a:off x="1147762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Produtos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18</xdr:col>
      <xdr:colOff>9525</xdr:colOff>
      <xdr:row>0</xdr:row>
      <xdr:rowOff>619125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32A1971-FA29-4163-AE64-A115CB20AC64}"/>
            </a:ext>
          </a:extLst>
        </xdr:cNvPr>
        <xdr:cNvSpPr/>
      </xdr:nvSpPr>
      <xdr:spPr>
        <a:xfrm>
          <a:off x="13306425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Movimento de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1</xdr:row>
      <xdr:rowOff>47625</xdr:rowOff>
    </xdr:to>
    <xdr:sp macro="" textlink="">
      <xdr:nvSpPr>
        <xdr:cNvPr id="12" name="Retângul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981D61-2E68-427D-A95E-26F335BE0719}"/>
            </a:ext>
          </a:extLst>
        </xdr:cNvPr>
        <xdr:cNvSpPr/>
      </xdr:nvSpPr>
      <xdr:spPr>
        <a:xfrm>
          <a:off x="0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Pagamentos e</a:t>
          </a:r>
        </a:p>
        <a:p>
          <a:pPr algn="ctr"/>
          <a:r>
            <a:rPr lang="pt-BR" sz="1200" b="1"/>
            <a:t>Recebimento</a:t>
          </a:r>
        </a:p>
      </xdr:txBody>
    </xdr:sp>
    <xdr:clientData/>
  </xdr:twoCellAnchor>
  <xdr:twoCellAnchor editAs="oneCell">
    <xdr:from>
      <xdr:col>1</xdr:col>
      <xdr:colOff>1028700</xdr:colOff>
      <xdr:row>0</xdr:row>
      <xdr:rowOff>0</xdr:rowOff>
    </xdr:from>
    <xdr:to>
      <xdr:col>2</xdr:col>
      <xdr:colOff>476250</xdr:colOff>
      <xdr:row>1</xdr:row>
      <xdr:rowOff>47625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7E48DD-03C0-4D1D-A97C-56C71BF86079}"/>
            </a:ext>
          </a:extLst>
        </xdr:cNvPr>
        <xdr:cNvSpPr/>
      </xdr:nvSpPr>
      <xdr:spPr>
        <a:xfrm>
          <a:off x="1866900" y="0"/>
          <a:ext cx="132397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Movimentação Entradas</a:t>
          </a:r>
          <a:r>
            <a:rPr lang="pt-BR" sz="1200" b="1" baseline="0"/>
            <a:t> e Saídas</a:t>
          </a:r>
          <a:endParaRPr lang="pt-BR" sz="1200" b="1"/>
        </a:p>
      </xdr:txBody>
    </xdr:sp>
    <xdr:clientData/>
  </xdr:twoCellAnchor>
  <xdr:twoCellAnchor editAs="oneCell">
    <xdr:from>
      <xdr:col>2</xdr:col>
      <xdr:colOff>1114425</xdr:colOff>
      <xdr:row>0</xdr:row>
      <xdr:rowOff>0</xdr:rowOff>
    </xdr:from>
    <xdr:to>
      <xdr:col>3</xdr:col>
      <xdr:colOff>723900</xdr:colOff>
      <xdr:row>1</xdr:row>
      <xdr:rowOff>47625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07D80A8-C4DE-4071-8820-034170121169}"/>
            </a:ext>
          </a:extLst>
        </xdr:cNvPr>
        <xdr:cNvSpPr/>
      </xdr:nvSpPr>
      <xdr:spPr>
        <a:xfrm>
          <a:off x="3829050" y="0"/>
          <a:ext cx="1228725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Movimento de Caixa</a:t>
          </a:r>
        </a:p>
      </xdr:txBody>
    </xdr:sp>
    <xdr:clientData/>
  </xdr:twoCellAnchor>
  <xdr:twoCellAnchor editAs="oneCell">
    <xdr:from>
      <xdr:col>3</xdr:col>
      <xdr:colOff>1362075</xdr:colOff>
      <xdr:row>0</xdr:row>
      <xdr:rowOff>0</xdr:rowOff>
    </xdr:from>
    <xdr:to>
      <xdr:col>4</xdr:col>
      <xdr:colOff>1104900</xdr:colOff>
      <xdr:row>1</xdr:row>
      <xdr:rowOff>47625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DEF467-8F92-4EE7-B442-DEBFA208BC5C}"/>
            </a:ext>
          </a:extLst>
        </xdr:cNvPr>
        <xdr:cNvSpPr/>
      </xdr:nvSpPr>
      <xdr:spPr>
        <a:xfrm>
          <a:off x="5695950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5</xdr:col>
      <xdr:colOff>342900</xdr:colOff>
      <xdr:row>0</xdr:row>
      <xdr:rowOff>0</xdr:rowOff>
    </xdr:from>
    <xdr:to>
      <xdr:col>5</xdr:col>
      <xdr:colOff>1571625</xdr:colOff>
      <xdr:row>1</xdr:row>
      <xdr:rowOff>47625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D2A2A1B-3946-4F75-97A9-A14EE90E9423}"/>
            </a:ext>
          </a:extLst>
        </xdr:cNvPr>
        <xdr:cNvSpPr/>
      </xdr:nvSpPr>
      <xdr:spPr>
        <a:xfrm>
          <a:off x="7562850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Dashboard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5</xdr:col>
      <xdr:colOff>2209800</xdr:colOff>
      <xdr:row>0</xdr:row>
      <xdr:rowOff>0</xdr:rowOff>
    </xdr:from>
    <xdr:to>
      <xdr:col>6</xdr:col>
      <xdr:colOff>1143000</xdr:colOff>
      <xdr:row>1</xdr:row>
      <xdr:rowOff>47625</xdr:rowOff>
    </xdr:to>
    <xdr:sp macro="" textlink="">
      <xdr:nvSpPr>
        <xdr:cNvPr id="17" name="Retângul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567928-8F1E-41DD-BA6C-8B8EE986F93E}"/>
            </a:ext>
          </a:extLst>
        </xdr:cNvPr>
        <xdr:cNvSpPr/>
      </xdr:nvSpPr>
      <xdr:spPr>
        <a:xfrm>
          <a:off x="9429750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Cliente</a:t>
          </a:r>
        </a:p>
        <a:p>
          <a:pPr algn="ctr"/>
          <a:r>
            <a:rPr lang="pt-BR" sz="1200" b="1"/>
            <a:t>Fornecedor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0</xdr:col>
      <xdr:colOff>47625</xdr:colOff>
      <xdr:row>3</xdr:row>
      <xdr:rowOff>19051</xdr:rowOff>
    </xdr:from>
    <xdr:to>
      <xdr:col>2</xdr:col>
      <xdr:colOff>666750</xdr:colOff>
      <xdr:row>7</xdr:row>
      <xdr:rowOff>28576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9" name="Data">
              <a:extLst>
                <a:ext uri="{FF2B5EF4-FFF2-40B4-BE49-F238E27FC236}">
                  <a16:creationId xmlns:a16="http://schemas.microsoft.com/office/drawing/2014/main" id="{2A990E52-D9E9-4CDB-AE54-79436093277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1133476"/>
              <a:ext cx="3333750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790575</xdr:colOff>
      <xdr:row>3</xdr:row>
      <xdr:rowOff>19051</xdr:rowOff>
    </xdr:from>
    <xdr:to>
      <xdr:col>3</xdr:col>
      <xdr:colOff>971550</xdr:colOff>
      <xdr:row>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Tipo Entradas">
              <a:extLst>
                <a:ext uri="{FF2B5EF4-FFF2-40B4-BE49-F238E27FC236}">
                  <a16:creationId xmlns:a16="http://schemas.microsoft.com/office/drawing/2014/main" id="{CF58B652-F72A-41C7-9A9C-269770168F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Entrad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05200" y="1133476"/>
              <a:ext cx="1800225" cy="1343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1066800</xdr:colOff>
      <xdr:row>3</xdr:row>
      <xdr:rowOff>19051</xdr:rowOff>
    </xdr:from>
    <xdr:to>
      <xdr:col>4</xdr:col>
      <xdr:colOff>1381125</xdr:colOff>
      <xdr:row>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Tipo Saída">
              <a:extLst>
                <a:ext uri="{FF2B5EF4-FFF2-40B4-BE49-F238E27FC236}">
                  <a16:creationId xmlns:a16="http://schemas.microsoft.com/office/drawing/2014/main" id="{C1323EEA-A9A9-4620-B4D7-4DFC4DB7BA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Saí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00675" y="1133476"/>
              <a:ext cx="1800225" cy="1343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57150</xdr:colOff>
      <xdr:row>3</xdr:row>
      <xdr:rowOff>19051</xdr:rowOff>
    </xdr:from>
    <xdr:to>
      <xdr:col>5</xdr:col>
      <xdr:colOff>1857375</xdr:colOff>
      <xdr:row>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Forma de Pagamento">
              <a:extLst>
                <a:ext uri="{FF2B5EF4-FFF2-40B4-BE49-F238E27FC236}">
                  <a16:creationId xmlns:a16="http://schemas.microsoft.com/office/drawing/2014/main" id="{F7C34515-E942-460C-9BBB-0C4A567A61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de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7100" y="1133476"/>
              <a:ext cx="1800225" cy="1343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304800</xdr:colOff>
      <xdr:row>0</xdr:row>
      <xdr:rowOff>0</xdr:rowOff>
    </xdr:from>
    <xdr:to>
      <xdr:col>9</xdr:col>
      <xdr:colOff>314325</xdr:colOff>
      <xdr:row>1</xdr:row>
      <xdr:rowOff>47625</xdr:rowOff>
    </xdr:to>
    <xdr:sp macro="" textlink="">
      <xdr:nvSpPr>
        <xdr:cNvPr id="23" name="Retângul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940949-CC32-4036-B711-5A030D0AD565}"/>
            </a:ext>
          </a:extLst>
        </xdr:cNvPr>
        <xdr:cNvSpPr/>
      </xdr:nvSpPr>
      <xdr:spPr>
        <a:xfrm>
          <a:off x="11296650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Produtos</a:t>
          </a:r>
        </a:p>
        <a:p>
          <a:pPr algn="ctr"/>
          <a:endParaRPr lang="pt-BR" sz="1200" b="1"/>
        </a:p>
      </xdr:txBody>
    </xdr:sp>
    <xdr:clientData/>
  </xdr:twoCellAnchor>
  <xdr:twoCellAnchor>
    <xdr:from>
      <xdr:col>6</xdr:col>
      <xdr:colOff>0</xdr:colOff>
      <xdr:row>3</xdr:row>
      <xdr:rowOff>19051</xdr:rowOff>
    </xdr:from>
    <xdr:to>
      <xdr:col>7</xdr:col>
      <xdr:colOff>0</xdr:colOff>
      <xdr:row>4</xdr:row>
      <xdr:rowOff>0</xdr:rowOff>
    </xdr:to>
    <xdr:sp macro="[0]!AtualizarTbDinamic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3F0F9C-89B1-4A43-9765-9AF98CB72356}"/>
            </a:ext>
          </a:extLst>
        </xdr:cNvPr>
        <xdr:cNvSpPr/>
      </xdr:nvSpPr>
      <xdr:spPr>
        <a:xfrm>
          <a:off x="9515475" y="1133476"/>
          <a:ext cx="1476375" cy="571499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  <a:r>
            <a:rPr lang="pt-BR" sz="1100" b="1" baseline="0"/>
            <a:t> Planilha</a:t>
          </a:r>
          <a:endParaRPr lang="pt-BR" sz="1100" b="1"/>
        </a:p>
      </xdr:txBody>
    </xdr:sp>
    <xdr:clientData/>
  </xdr:twoCellAnchor>
  <xdr:twoCellAnchor editAs="oneCell">
    <xdr:from>
      <xdr:col>10</xdr:col>
      <xdr:colOff>133350</xdr:colOff>
      <xdr:row>0</xdr:row>
      <xdr:rowOff>28575</xdr:rowOff>
    </xdr:from>
    <xdr:to>
      <xdr:col>12</xdr:col>
      <xdr:colOff>142875</xdr:colOff>
      <xdr:row>1</xdr:row>
      <xdr:rowOff>76200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622AC5F-7CE8-4D80-924C-E3E9C020F298}"/>
            </a:ext>
          </a:extLst>
        </xdr:cNvPr>
        <xdr:cNvSpPr/>
      </xdr:nvSpPr>
      <xdr:spPr>
        <a:xfrm>
          <a:off x="12954000" y="2857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Movimento de Estoque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1228725</xdr:colOff>
      <xdr:row>0</xdr:row>
      <xdr:rowOff>581025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411F0F-DF62-4B43-8327-B11194E95D18}"/>
            </a:ext>
          </a:extLst>
        </xdr:cNvPr>
        <xdr:cNvSpPr/>
      </xdr:nvSpPr>
      <xdr:spPr>
        <a:xfrm>
          <a:off x="0" y="0"/>
          <a:ext cx="1228725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Pagamentos e</a:t>
          </a:r>
        </a:p>
        <a:p>
          <a:pPr algn="ctr"/>
          <a:r>
            <a:rPr lang="pt-BR" sz="1200" b="1"/>
            <a:t>Recebimento</a:t>
          </a:r>
        </a:p>
      </xdr:txBody>
    </xdr:sp>
    <xdr:clientData/>
  </xdr:twoCellAnchor>
  <xdr:twoCellAnchor editAs="oneCell">
    <xdr:from>
      <xdr:col>1</xdr:col>
      <xdr:colOff>0</xdr:colOff>
      <xdr:row>0</xdr:row>
      <xdr:rowOff>9525</xdr:rowOff>
    </xdr:from>
    <xdr:to>
      <xdr:col>2</xdr:col>
      <xdr:colOff>9525</xdr:colOff>
      <xdr:row>1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5EB191C-44AF-4CB2-A49F-9A0006EA20A1}"/>
            </a:ext>
          </a:extLst>
        </xdr:cNvPr>
        <xdr:cNvSpPr/>
      </xdr:nvSpPr>
      <xdr:spPr>
        <a:xfrm>
          <a:off x="1638300" y="9525"/>
          <a:ext cx="1323975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Movimentação Entradas</a:t>
          </a:r>
          <a:r>
            <a:rPr lang="pt-BR" sz="1200" b="1" baseline="0"/>
            <a:t> e Saídas</a:t>
          </a:r>
          <a:endParaRPr lang="pt-BR" sz="1200" b="1"/>
        </a:p>
      </xdr:txBody>
    </xdr:sp>
    <xdr:clientData/>
  </xdr:twoCellAnchor>
  <xdr:twoCellAnchor editAs="oneCell">
    <xdr:from>
      <xdr:col>2</xdr:col>
      <xdr:colOff>85725</xdr:colOff>
      <xdr:row>0</xdr:row>
      <xdr:rowOff>9525</xdr:rowOff>
    </xdr:from>
    <xdr:to>
      <xdr:col>3</xdr:col>
      <xdr:colOff>57150</xdr:colOff>
      <xdr:row>1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B566E6-793C-4DA3-ADDD-70FB9F731BA5}"/>
            </a:ext>
          </a:extLst>
        </xdr:cNvPr>
        <xdr:cNvSpPr/>
      </xdr:nvSpPr>
      <xdr:spPr>
        <a:xfrm>
          <a:off x="3038475" y="9525"/>
          <a:ext cx="1228725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Movimento de Caixa</a:t>
          </a:r>
        </a:p>
      </xdr:txBody>
    </xdr:sp>
    <xdr:clientData/>
  </xdr:twoCellAnchor>
  <xdr:twoCellAnchor editAs="oneCell">
    <xdr:from>
      <xdr:col>3</xdr:col>
      <xdr:colOff>152400</xdr:colOff>
      <xdr:row>0</xdr:row>
      <xdr:rowOff>19050</xdr:rowOff>
    </xdr:from>
    <xdr:to>
      <xdr:col>3</xdr:col>
      <xdr:colOff>1381125</xdr:colOff>
      <xdr:row>1</xdr:row>
      <xdr:rowOff>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AA9C75C-7A11-4414-A143-5FEA92B42DC6}"/>
            </a:ext>
          </a:extLst>
        </xdr:cNvPr>
        <xdr:cNvSpPr/>
      </xdr:nvSpPr>
      <xdr:spPr>
        <a:xfrm>
          <a:off x="4362450" y="19050"/>
          <a:ext cx="1228725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5</xdr:col>
      <xdr:colOff>342900</xdr:colOff>
      <xdr:row>0</xdr:row>
      <xdr:rowOff>1</xdr:rowOff>
    </xdr:from>
    <xdr:to>
      <xdr:col>6</xdr:col>
      <xdr:colOff>561975</xdr:colOff>
      <xdr:row>0</xdr:row>
      <xdr:rowOff>571501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70ABC1-599E-4FE9-BA32-11997EF7C2A4}"/>
            </a:ext>
          </a:extLst>
        </xdr:cNvPr>
        <xdr:cNvSpPr/>
      </xdr:nvSpPr>
      <xdr:spPr>
        <a:xfrm>
          <a:off x="7353300" y="1"/>
          <a:ext cx="1228725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Dashboard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4</xdr:col>
      <xdr:colOff>200025</xdr:colOff>
      <xdr:row>0</xdr:row>
      <xdr:rowOff>0</xdr:rowOff>
    </xdr:from>
    <xdr:to>
      <xdr:col>5</xdr:col>
      <xdr:colOff>28575</xdr:colOff>
      <xdr:row>0</xdr:row>
      <xdr:rowOff>571500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72893A-5D0A-4C70-ADF2-1B7BECA6DF29}"/>
            </a:ext>
          </a:extLst>
        </xdr:cNvPr>
        <xdr:cNvSpPr/>
      </xdr:nvSpPr>
      <xdr:spPr>
        <a:xfrm>
          <a:off x="5810250" y="0"/>
          <a:ext cx="1228725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Cliente</a:t>
          </a:r>
        </a:p>
        <a:p>
          <a:pPr algn="ctr"/>
          <a:r>
            <a:rPr lang="pt-BR" sz="1200" b="1"/>
            <a:t>Fornecedor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6</xdr:col>
      <xdr:colOff>1104900</xdr:colOff>
      <xdr:row>0</xdr:row>
      <xdr:rowOff>9525</xdr:rowOff>
    </xdr:from>
    <xdr:to>
      <xdr:col>7</xdr:col>
      <xdr:colOff>504825</xdr:colOff>
      <xdr:row>0</xdr:row>
      <xdr:rowOff>571500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A875D1F-6DDE-48B9-9326-174088C77948}"/>
            </a:ext>
          </a:extLst>
        </xdr:cNvPr>
        <xdr:cNvSpPr/>
      </xdr:nvSpPr>
      <xdr:spPr>
        <a:xfrm>
          <a:off x="9020175" y="9525"/>
          <a:ext cx="1228725" cy="561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Produtos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7</xdr:col>
      <xdr:colOff>1400175</xdr:colOff>
      <xdr:row>0</xdr:row>
      <xdr:rowOff>9525</xdr:rowOff>
    </xdr:from>
    <xdr:to>
      <xdr:col>8</xdr:col>
      <xdr:colOff>800100</xdr:colOff>
      <xdr:row>1</xdr:row>
      <xdr:rowOff>38100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A2893E6-F17F-4C09-BDA3-14C1813E04FA}"/>
            </a:ext>
          </a:extLst>
        </xdr:cNvPr>
        <xdr:cNvSpPr/>
      </xdr:nvSpPr>
      <xdr:spPr>
        <a:xfrm>
          <a:off x="11144250" y="9525"/>
          <a:ext cx="1228725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Movimento de Estoque</a:t>
          </a:r>
        </a:p>
      </xdr:txBody>
    </xdr:sp>
    <xdr:clientData/>
  </xdr:twoCellAnchor>
  <xdr:twoCellAnchor editAs="oneCell">
    <xdr:from>
      <xdr:col>0</xdr:col>
      <xdr:colOff>47625</xdr:colOff>
      <xdr:row>3</xdr:row>
      <xdr:rowOff>57150</xdr:rowOff>
    </xdr:from>
    <xdr:to>
      <xdr:col>2</xdr:col>
      <xdr:colOff>1066800</xdr:colOff>
      <xdr:row>8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0" name="Data 2">
              <a:extLst>
                <a:ext uri="{FF2B5EF4-FFF2-40B4-BE49-F238E27FC236}">
                  <a16:creationId xmlns:a16="http://schemas.microsoft.com/office/drawing/2014/main" id="{53952641-62D8-4829-A250-E62408EB4D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1295400"/>
              <a:ext cx="39719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361950</xdr:colOff>
      <xdr:row>3</xdr:row>
      <xdr:rowOff>57150</xdr:rowOff>
    </xdr:from>
    <xdr:to>
      <xdr:col>5</xdr:col>
      <xdr:colOff>790575</xdr:colOff>
      <xdr:row>7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">
              <a:extLst>
                <a:ext uri="{FF2B5EF4-FFF2-40B4-BE49-F238E27FC236}">
                  <a16:creationId xmlns:a16="http://schemas.microsoft.com/office/drawing/2014/main" id="{B274786E-89B2-46EE-BA7A-61CE7E7D53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72175" y="1295400"/>
              <a:ext cx="1828800" cy="11049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1162050</xdr:colOff>
      <xdr:row>3</xdr:row>
      <xdr:rowOff>57150</xdr:rowOff>
    </xdr:from>
    <xdr:to>
      <xdr:col>4</xdr:col>
      <xdr:colOff>333375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oduto">
              <a:extLst>
                <a:ext uri="{FF2B5EF4-FFF2-40B4-BE49-F238E27FC236}">
                  <a16:creationId xmlns:a16="http://schemas.microsoft.com/office/drawing/2014/main" id="{DDF2AE35-99E0-4D24-B03D-9BAAC72586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14800" y="1295400"/>
              <a:ext cx="1828800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0</xdr:colOff>
      <xdr:row>3</xdr:row>
      <xdr:rowOff>57150</xdr:rowOff>
    </xdr:from>
    <xdr:to>
      <xdr:col>6</xdr:col>
      <xdr:colOff>1104900</xdr:colOff>
      <xdr:row>5</xdr:row>
      <xdr:rowOff>0</xdr:rowOff>
    </xdr:to>
    <xdr:sp macro="[0]!AtualizarTbDinamicaEstoque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2379F42-BE32-4426-B670-65E6E700C208}"/>
            </a:ext>
          </a:extLst>
        </xdr:cNvPr>
        <xdr:cNvSpPr/>
      </xdr:nvSpPr>
      <xdr:spPr>
        <a:xfrm>
          <a:off x="8020050" y="1295400"/>
          <a:ext cx="1104900" cy="6572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 Planilha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1228725</xdr:colOff>
      <xdr:row>1</xdr:row>
      <xdr:rowOff>38100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BA936B-D83C-4370-9D39-FB12651F7727}"/>
            </a:ext>
          </a:extLst>
        </xdr:cNvPr>
        <xdr:cNvSpPr/>
      </xdr:nvSpPr>
      <xdr:spPr>
        <a:xfrm>
          <a:off x="0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Pagamentos e</a:t>
          </a:r>
        </a:p>
        <a:p>
          <a:pPr algn="ctr"/>
          <a:r>
            <a:rPr lang="pt-BR" sz="1200" b="1"/>
            <a:t>Recebimento</a:t>
          </a:r>
        </a:p>
      </xdr:txBody>
    </xdr:sp>
    <xdr:clientData/>
  </xdr:twoCellAnchor>
  <xdr:twoCellAnchor editAs="oneCell">
    <xdr:from>
      <xdr:col>1</xdr:col>
      <xdr:colOff>1077498</xdr:colOff>
      <xdr:row>0</xdr:row>
      <xdr:rowOff>0</xdr:rowOff>
    </xdr:from>
    <xdr:to>
      <xdr:col>3</xdr:col>
      <xdr:colOff>376692</xdr:colOff>
      <xdr:row>1</xdr:row>
      <xdr:rowOff>38100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F1B617-0F9A-4233-9E32-1F0F417F7F49}"/>
            </a:ext>
          </a:extLst>
        </xdr:cNvPr>
        <xdr:cNvSpPr/>
      </xdr:nvSpPr>
      <xdr:spPr>
        <a:xfrm>
          <a:off x="1687098" y="0"/>
          <a:ext cx="1382367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Movimentação Entradas</a:t>
          </a:r>
          <a:r>
            <a:rPr lang="pt-BR" sz="1200" b="1" baseline="0"/>
            <a:t> e Saídas</a:t>
          </a:r>
          <a:endParaRPr lang="pt-BR" sz="1200" b="1"/>
        </a:p>
      </xdr:txBody>
    </xdr:sp>
    <xdr:clientData/>
  </xdr:twoCellAnchor>
  <xdr:twoCellAnchor editAs="oneCell">
    <xdr:from>
      <xdr:col>4</xdr:col>
      <xdr:colOff>22638</xdr:colOff>
      <xdr:row>0</xdr:row>
      <xdr:rowOff>0</xdr:rowOff>
    </xdr:from>
    <xdr:to>
      <xdr:col>5</xdr:col>
      <xdr:colOff>442979</xdr:colOff>
      <xdr:row>1</xdr:row>
      <xdr:rowOff>38100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983C09-E9C3-42E4-B4FE-A3274F79847C}"/>
            </a:ext>
          </a:extLst>
        </xdr:cNvPr>
        <xdr:cNvSpPr/>
      </xdr:nvSpPr>
      <xdr:spPr>
        <a:xfrm>
          <a:off x="3527838" y="0"/>
          <a:ext cx="1229967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Movimento de Caixa</a:t>
          </a:r>
        </a:p>
      </xdr:txBody>
    </xdr:sp>
    <xdr:clientData/>
  </xdr:twoCellAnchor>
  <xdr:twoCellAnchor editAs="oneCell">
    <xdr:from>
      <xdr:col>6</xdr:col>
      <xdr:colOff>110778</xdr:colOff>
      <xdr:row>0</xdr:row>
      <xdr:rowOff>0</xdr:rowOff>
    </xdr:from>
    <xdr:to>
      <xdr:col>7</xdr:col>
      <xdr:colOff>453678</xdr:colOff>
      <xdr:row>1</xdr:row>
      <xdr:rowOff>38100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334BC5-17A7-4294-8ADD-05868A38B514}"/>
            </a:ext>
          </a:extLst>
        </xdr:cNvPr>
        <xdr:cNvSpPr/>
      </xdr:nvSpPr>
      <xdr:spPr>
        <a:xfrm>
          <a:off x="5216178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8</xdr:col>
      <xdr:colOff>226251</xdr:colOff>
      <xdr:row>0</xdr:row>
      <xdr:rowOff>0</xdr:rowOff>
    </xdr:from>
    <xdr:to>
      <xdr:col>9</xdr:col>
      <xdr:colOff>120916</xdr:colOff>
      <xdr:row>1</xdr:row>
      <xdr:rowOff>38100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70527F16-998C-4083-9ED5-8081B0D4C605}"/>
            </a:ext>
          </a:extLst>
        </xdr:cNvPr>
        <xdr:cNvSpPr/>
      </xdr:nvSpPr>
      <xdr:spPr>
        <a:xfrm>
          <a:off x="6903276" y="0"/>
          <a:ext cx="1228725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Dashboard</a:t>
          </a:r>
        </a:p>
        <a:p>
          <a:pPr algn="ctr"/>
          <a:endParaRPr lang="pt-BR" sz="12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417924</xdr:colOff>
      <xdr:row>0</xdr:row>
      <xdr:rowOff>0</xdr:rowOff>
    </xdr:from>
    <xdr:to>
      <xdr:col>12</xdr:col>
      <xdr:colOff>260481</xdr:colOff>
      <xdr:row>1</xdr:row>
      <xdr:rowOff>38100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1518027-DF42-46B2-A492-2490829B4FCF}"/>
            </a:ext>
          </a:extLst>
        </xdr:cNvPr>
        <xdr:cNvSpPr/>
      </xdr:nvSpPr>
      <xdr:spPr>
        <a:xfrm>
          <a:off x="8590374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Cliente</a:t>
          </a:r>
        </a:p>
        <a:p>
          <a:pPr algn="ctr"/>
          <a:r>
            <a:rPr lang="pt-BR" sz="1200" b="1"/>
            <a:t>Fornecedor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0</xdr:col>
      <xdr:colOff>57150</xdr:colOff>
      <xdr:row>3</xdr:row>
      <xdr:rowOff>47625</xdr:rowOff>
    </xdr:from>
    <xdr:to>
      <xdr:col>2</xdr:col>
      <xdr:colOff>691964</xdr:colOff>
      <xdr:row>3</xdr:row>
      <xdr:rowOff>1219200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6" name="Data 1">
              <a:extLst>
                <a:ext uri="{FF2B5EF4-FFF2-40B4-BE49-F238E27FC236}">
                  <a16:creationId xmlns:a16="http://schemas.microsoft.com/office/drawing/2014/main" id="{824C0395-67AB-4220-8B02-4FF2744E7B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1247775"/>
              <a:ext cx="3333750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0</xdr:colOff>
      <xdr:row>0</xdr:row>
      <xdr:rowOff>0</xdr:rowOff>
    </xdr:from>
    <xdr:to>
      <xdr:col>14</xdr:col>
      <xdr:colOff>329454</xdr:colOff>
      <xdr:row>1</xdr:row>
      <xdr:rowOff>38100</xdr:rowOff>
    </xdr:to>
    <xdr:sp macro="" textlink="">
      <xdr:nvSpPr>
        <xdr:cNvPr id="20" name="Retângul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A1B8AE4-D3AF-47F1-9CFC-71CF312F2AAB}"/>
            </a:ext>
          </a:extLst>
        </xdr:cNvPr>
        <xdr:cNvSpPr/>
      </xdr:nvSpPr>
      <xdr:spPr>
        <a:xfrm>
          <a:off x="10277475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Produtos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14</xdr:col>
      <xdr:colOff>352425</xdr:colOff>
      <xdr:row>0</xdr:row>
      <xdr:rowOff>0</xdr:rowOff>
    </xdr:from>
    <xdr:to>
      <xdr:col>16</xdr:col>
      <xdr:colOff>38100</xdr:colOff>
      <xdr:row>1</xdr:row>
      <xdr:rowOff>38100</xdr:rowOff>
    </xdr:to>
    <xdr:sp macro="" textlink="">
      <xdr:nvSpPr>
        <xdr:cNvPr id="24" name="Retângulo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3AE5131-FEF9-41B6-A7FD-B55E7000DEAC}"/>
            </a:ext>
          </a:extLst>
        </xdr:cNvPr>
        <xdr:cNvSpPr/>
      </xdr:nvSpPr>
      <xdr:spPr>
        <a:xfrm>
          <a:off x="12915900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Movimento de Estoque</a:t>
          </a:r>
        </a:p>
      </xdr:txBody>
    </xdr:sp>
    <xdr:clientData/>
  </xdr:twoCellAnchor>
  <xdr:twoCellAnchor editAs="oneCell">
    <xdr:from>
      <xdr:col>0</xdr:col>
      <xdr:colOff>66675</xdr:colOff>
      <xdr:row>25</xdr:row>
      <xdr:rowOff>85725</xdr:rowOff>
    </xdr:from>
    <xdr:to>
      <xdr:col>3</xdr:col>
      <xdr:colOff>476250</xdr:colOff>
      <xdr:row>31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8" name="Data 3">
              <a:extLst>
                <a:ext uri="{FF2B5EF4-FFF2-40B4-BE49-F238E27FC236}">
                  <a16:creationId xmlns:a16="http://schemas.microsoft.com/office/drawing/2014/main" id="{A43DDC86-1A76-491F-9CEA-ED93957687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8029575"/>
              <a:ext cx="3971925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352425</xdr:colOff>
      <xdr:row>25</xdr:row>
      <xdr:rowOff>85725</xdr:rowOff>
    </xdr:from>
    <xdr:to>
      <xdr:col>8</xdr:col>
      <xdr:colOff>266700</xdr:colOff>
      <xdr:row>31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Tipo 1">
              <a:extLst>
                <a:ext uri="{FF2B5EF4-FFF2-40B4-BE49-F238E27FC236}">
                  <a16:creationId xmlns:a16="http://schemas.microsoft.com/office/drawing/2014/main" id="{13BAD1FF-614D-4F86-975E-E5FD2A130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43700" y="8029575"/>
              <a:ext cx="1828800" cy="11049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371475</xdr:colOff>
      <xdr:row>25</xdr:row>
      <xdr:rowOff>85725</xdr:rowOff>
    </xdr:from>
    <xdr:to>
      <xdr:col>6</xdr:col>
      <xdr:colOff>323850</xdr:colOff>
      <xdr:row>31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Produto 1">
              <a:extLst>
                <a:ext uri="{FF2B5EF4-FFF2-40B4-BE49-F238E27FC236}">
                  <a16:creationId xmlns:a16="http://schemas.microsoft.com/office/drawing/2014/main" id="{12F26D7E-1CAA-4831-A6E5-49AAD552B6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86325" y="8029575"/>
              <a:ext cx="1828800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209550</xdr:colOff>
      <xdr:row>34</xdr:row>
      <xdr:rowOff>9525</xdr:rowOff>
    </xdr:from>
    <xdr:to>
      <xdr:col>8</xdr:col>
      <xdr:colOff>904875</xdr:colOff>
      <xdr:row>46</xdr:row>
      <xdr:rowOff>9525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C0CDADF-4F5E-405B-B77A-587CEF2B8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120916</xdr:colOff>
      <xdr:row>34</xdr:row>
      <xdr:rowOff>19050</xdr:rowOff>
    </xdr:from>
    <xdr:to>
      <xdr:col>14</xdr:col>
      <xdr:colOff>120916</xdr:colOff>
      <xdr:row>46</xdr:row>
      <xdr:rowOff>19050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7D4B3242-032D-4DC9-8F08-F6EDA6D4B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0</xdr:col>
      <xdr:colOff>1228725</xdr:colOff>
      <xdr:row>2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9BED0D-9779-478D-AF33-F71989A57F93}"/>
            </a:ext>
          </a:extLst>
        </xdr:cNvPr>
        <xdr:cNvSpPr/>
      </xdr:nvSpPr>
      <xdr:spPr>
        <a:xfrm>
          <a:off x="0" y="476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Pagamentos e</a:t>
          </a:r>
        </a:p>
        <a:p>
          <a:pPr algn="ctr"/>
          <a:r>
            <a:rPr lang="pt-BR" sz="1200" b="1"/>
            <a:t>Recebimento</a:t>
          </a:r>
        </a:p>
      </xdr:txBody>
    </xdr:sp>
    <xdr:clientData/>
  </xdr:twoCellAnchor>
  <xdr:twoCellAnchor editAs="oneCell">
    <xdr:from>
      <xdr:col>1</xdr:col>
      <xdr:colOff>538162</xdr:colOff>
      <xdr:row>0</xdr:row>
      <xdr:rowOff>47625</xdr:rowOff>
    </xdr:from>
    <xdr:to>
      <xdr:col>2</xdr:col>
      <xdr:colOff>585787</xdr:colOff>
      <xdr:row>2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A578D9-87D9-4A8E-9767-6622EBF92189}"/>
            </a:ext>
          </a:extLst>
        </xdr:cNvPr>
        <xdr:cNvSpPr/>
      </xdr:nvSpPr>
      <xdr:spPr>
        <a:xfrm>
          <a:off x="1795462" y="47625"/>
          <a:ext cx="1371600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Movimentação Entradas</a:t>
          </a:r>
          <a:r>
            <a:rPr lang="pt-BR" sz="1200" b="1" baseline="0"/>
            <a:t> e Saídas</a:t>
          </a:r>
          <a:endParaRPr lang="pt-BR" sz="1200" b="1"/>
        </a:p>
      </xdr:txBody>
    </xdr:sp>
    <xdr:clientData/>
  </xdr:twoCellAnchor>
  <xdr:twoCellAnchor editAs="oneCell">
    <xdr:from>
      <xdr:col>3</xdr:col>
      <xdr:colOff>209549</xdr:colOff>
      <xdr:row>0</xdr:row>
      <xdr:rowOff>47625</xdr:rowOff>
    </xdr:from>
    <xdr:to>
      <xdr:col>4</xdr:col>
      <xdr:colOff>657224</xdr:colOff>
      <xdr:row>2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D6AB514-0650-415C-883C-8B30D352302F}"/>
            </a:ext>
          </a:extLst>
        </xdr:cNvPr>
        <xdr:cNvSpPr/>
      </xdr:nvSpPr>
      <xdr:spPr>
        <a:xfrm>
          <a:off x="3733799" y="476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Movimento de Caixa</a:t>
          </a:r>
        </a:p>
      </xdr:txBody>
    </xdr:sp>
    <xdr:clientData/>
  </xdr:twoCellAnchor>
  <xdr:twoCellAnchor editAs="oneCell">
    <xdr:from>
      <xdr:col>4</xdr:col>
      <xdr:colOff>1223961</xdr:colOff>
      <xdr:row>0</xdr:row>
      <xdr:rowOff>47625</xdr:rowOff>
    </xdr:from>
    <xdr:to>
      <xdr:col>5</xdr:col>
      <xdr:colOff>1157286</xdr:colOff>
      <xdr:row>2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5346DB2-6840-43C3-BC32-D6283364711E}"/>
            </a:ext>
          </a:extLst>
        </xdr:cNvPr>
        <xdr:cNvSpPr/>
      </xdr:nvSpPr>
      <xdr:spPr>
        <a:xfrm>
          <a:off x="5529261" y="47625"/>
          <a:ext cx="1228725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5</xdr:col>
      <xdr:colOff>1724023</xdr:colOff>
      <xdr:row>0</xdr:row>
      <xdr:rowOff>47625</xdr:rowOff>
    </xdr:from>
    <xdr:to>
      <xdr:col>6</xdr:col>
      <xdr:colOff>619123</xdr:colOff>
      <xdr:row>2</xdr:row>
      <xdr:rowOff>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0EE9A1-83FA-492C-B862-A75BA3777E77}"/>
            </a:ext>
          </a:extLst>
        </xdr:cNvPr>
        <xdr:cNvSpPr/>
      </xdr:nvSpPr>
      <xdr:spPr>
        <a:xfrm>
          <a:off x="7324723" y="476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Dashboard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6</xdr:col>
      <xdr:colOff>1185860</xdr:colOff>
      <xdr:row>0</xdr:row>
      <xdr:rowOff>47625</xdr:rowOff>
    </xdr:from>
    <xdr:to>
      <xdr:col>7</xdr:col>
      <xdr:colOff>185735</xdr:colOff>
      <xdr:row>2</xdr:row>
      <xdr:rowOff>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1D589A1-CF38-40BC-AD75-EF5FF1DFEF04}"/>
            </a:ext>
          </a:extLst>
        </xdr:cNvPr>
        <xdr:cNvSpPr/>
      </xdr:nvSpPr>
      <xdr:spPr>
        <a:xfrm>
          <a:off x="9120185" y="476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Cliente</a:t>
          </a:r>
        </a:p>
        <a:p>
          <a:pPr algn="ctr"/>
          <a:r>
            <a:rPr lang="pt-BR" sz="1200" b="1"/>
            <a:t>Fornecedor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7</xdr:col>
      <xdr:colOff>752475</xdr:colOff>
      <xdr:row>0</xdr:row>
      <xdr:rowOff>47625</xdr:rowOff>
    </xdr:from>
    <xdr:to>
      <xdr:col>8</xdr:col>
      <xdr:colOff>600075</xdr:colOff>
      <xdr:row>2</xdr:row>
      <xdr:rowOff>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C9FDCB2-C689-45CE-A979-51484DDB73A2}"/>
            </a:ext>
          </a:extLst>
        </xdr:cNvPr>
        <xdr:cNvSpPr/>
      </xdr:nvSpPr>
      <xdr:spPr>
        <a:xfrm>
          <a:off x="10915650" y="476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Produtos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9</xdr:col>
      <xdr:colOff>200025</xdr:colOff>
      <xdr:row>0</xdr:row>
      <xdr:rowOff>57150</xdr:rowOff>
    </xdr:from>
    <xdr:to>
      <xdr:col>11</xdr:col>
      <xdr:colOff>209550</xdr:colOff>
      <xdr:row>2</xdr:row>
      <xdr:rowOff>9525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4F7656F-704F-443B-912D-3419BCD0ABDA}"/>
            </a:ext>
          </a:extLst>
        </xdr:cNvPr>
        <xdr:cNvSpPr/>
      </xdr:nvSpPr>
      <xdr:spPr>
        <a:xfrm>
          <a:off x="12553950" y="5715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Movimento de Estoque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85725</xdr:rowOff>
    </xdr:from>
    <xdr:to>
      <xdr:col>0</xdr:col>
      <xdr:colOff>1228725</xdr:colOff>
      <xdr:row>1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F38794-3673-475C-B76B-D414190926F6}"/>
            </a:ext>
          </a:extLst>
        </xdr:cNvPr>
        <xdr:cNvSpPr/>
      </xdr:nvSpPr>
      <xdr:spPr>
        <a:xfrm>
          <a:off x="0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Pagamentos e</a:t>
          </a:r>
        </a:p>
        <a:p>
          <a:pPr algn="ctr"/>
          <a:r>
            <a:rPr lang="pt-BR" sz="1200" b="1"/>
            <a:t>Recebimento</a:t>
          </a:r>
        </a:p>
      </xdr:txBody>
    </xdr:sp>
    <xdr:clientData/>
  </xdr:twoCellAnchor>
  <xdr:twoCellAnchor editAs="oneCell">
    <xdr:from>
      <xdr:col>1</xdr:col>
      <xdr:colOff>79375</xdr:colOff>
      <xdr:row>0</xdr:row>
      <xdr:rowOff>85725</xdr:rowOff>
    </xdr:from>
    <xdr:to>
      <xdr:col>1</xdr:col>
      <xdr:colOff>1412875</xdr:colOff>
      <xdr:row>1</xdr:row>
      <xdr:rowOff>66675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E58257-C1A9-49F0-A47F-5525E8ECC193}"/>
            </a:ext>
          </a:extLst>
        </xdr:cNvPr>
        <xdr:cNvSpPr/>
      </xdr:nvSpPr>
      <xdr:spPr>
        <a:xfrm>
          <a:off x="1860550" y="85725"/>
          <a:ext cx="1333500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Movimentação Entradas</a:t>
          </a:r>
          <a:r>
            <a:rPr lang="pt-BR" sz="1200" b="1" baseline="0"/>
            <a:t> e Saídas</a:t>
          </a:r>
          <a:endParaRPr lang="pt-BR" sz="1200" b="1"/>
        </a:p>
      </xdr:txBody>
    </xdr:sp>
    <xdr:clientData/>
  </xdr:twoCellAnchor>
  <xdr:twoCellAnchor editAs="oneCell">
    <xdr:from>
      <xdr:col>2</xdr:col>
      <xdr:colOff>263525</xdr:colOff>
      <xdr:row>0</xdr:row>
      <xdr:rowOff>85725</xdr:rowOff>
    </xdr:from>
    <xdr:to>
      <xdr:col>2</xdr:col>
      <xdr:colOff>1492250</xdr:colOff>
      <xdr:row>1</xdr:row>
      <xdr:rowOff>66675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CF2B10-E610-4C56-AD67-E190448169FD}"/>
            </a:ext>
          </a:extLst>
        </xdr:cNvPr>
        <xdr:cNvSpPr/>
      </xdr:nvSpPr>
      <xdr:spPr>
        <a:xfrm>
          <a:off x="382587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Movimento de Caixa</a:t>
          </a:r>
        </a:p>
      </xdr:txBody>
    </xdr:sp>
    <xdr:clientData/>
  </xdr:twoCellAnchor>
  <xdr:twoCellAnchor editAs="oneCell">
    <xdr:from>
      <xdr:col>3</xdr:col>
      <xdr:colOff>342900</xdr:colOff>
      <xdr:row>0</xdr:row>
      <xdr:rowOff>85725</xdr:rowOff>
    </xdr:from>
    <xdr:to>
      <xdr:col>3</xdr:col>
      <xdr:colOff>1571625</xdr:colOff>
      <xdr:row>1</xdr:row>
      <xdr:rowOff>66675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9411C0A-BCD9-487D-8371-4EEAF2AF5075}"/>
            </a:ext>
          </a:extLst>
        </xdr:cNvPr>
        <xdr:cNvSpPr/>
      </xdr:nvSpPr>
      <xdr:spPr>
        <a:xfrm>
          <a:off x="568642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4</xdr:col>
      <xdr:colOff>422275</xdr:colOff>
      <xdr:row>0</xdr:row>
      <xdr:rowOff>85725</xdr:rowOff>
    </xdr:from>
    <xdr:to>
      <xdr:col>6</xdr:col>
      <xdr:colOff>431800</xdr:colOff>
      <xdr:row>1</xdr:row>
      <xdr:rowOff>66675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17D624-DCAF-48C2-BF47-15367B284B4F}"/>
            </a:ext>
          </a:extLst>
        </xdr:cNvPr>
        <xdr:cNvSpPr/>
      </xdr:nvSpPr>
      <xdr:spPr>
        <a:xfrm>
          <a:off x="754697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Dashboard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7</xdr:col>
      <xdr:colOff>454025</xdr:colOff>
      <xdr:row>0</xdr:row>
      <xdr:rowOff>85725</xdr:rowOff>
    </xdr:from>
    <xdr:to>
      <xdr:col>9</xdr:col>
      <xdr:colOff>463550</xdr:colOff>
      <xdr:row>1</xdr:row>
      <xdr:rowOff>66675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A2111B-273B-414F-BCD6-4E4776501DB9}"/>
            </a:ext>
          </a:extLst>
        </xdr:cNvPr>
        <xdr:cNvSpPr/>
      </xdr:nvSpPr>
      <xdr:spPr>
        <a:xfrm>
          <a:off x="9407525" y="85725"/>
          <a:ext cx="1228725" cy="619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Cliente</a:t>
          </a:r>
        </a:p>
        <a:p>
          <a:pPr algn="ctr"/>
          <a:r>
            <a:rPr lang="pt-BR" sz="1200" b="1">
              <a:solidFill>
                <a:schemeClr val="accent1">
                  <a:lumMod val="50000"/>
                </a:schemeClr>
              </a:solidFill>
            </a:rPr>
            <a:t>Fornecedor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10</xdr:col>
      <xdr:colOff>485775</xdr:colOff>
      <xdr:row>0</xdr:row>
      <xdr:rowOff>85725</xdr:rowOff>
    </xdr:from>
    <xdr:to>
      <xdr:col>12</xdr:col>
      <xdr:colOff>495300</xdr:colOff>
      <xdr:row>1</xdr:row>
      <xdr:rowOff>66675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9E41D0-5ECB-4201-90E9-809E2EF22A68}"/>
            </a:ext>
          </a:extLst>
        </xdr:cNvPr>
        <xdr:cNvSpPr/>
      </xdr:nvSpPr>
      <xdr:spPr>
        <a:xfrm>
          <a:off x="11268075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Produtos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14</xdr:col>
      <xdr:colOff>19050</xdr:colOff>
      <xdr:row>0</xdr:row>
      <xdr:rowOff>85725</xdr:rowOff>
    </xdr:from>
    <xdr:to>
      <xdr:col>16</xdr:col>
      <xdr:colOff>28575</xdr:colOff>
      <xdr:row>1</xdr:row>
      <xdr:rowOff>66675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CCEAD9D-EDCB-43CA-A4A6-F457A5BF7657}"/>
            </a:ext>
          </a:extLst>
        </xdr:cNvPr>
        <xdr:cNvSpPr/>
      </xdr:nvSpPr>
      <xdr:spPr>
        <a:xfrm>
          <a:off x="13239750" y="85725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Movimento de 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57149</xdr:rowOff>
    </xdr:from>
    <xdr:to>
      <xdr:col>0</xdr:col>
      <xdr:colOff>1228725</xdr:colOff>
      <xdr:row>2</xdr:row>
      <xdr:rowOff>57150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CAC491-CFFC-43D3-B005-024833918625}"/>
            </a:ext>
          </a:extLst>
        </xdr:cNvPr>
        <xdr:cNvSpPr/>
      </xdr:nvSpPr>
      <xdr:spPr>
        <a:xfrm>
          <a:off x="0" y="57149"/>
          <a:ext cx="1228725" cy="6667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Pagamentos e</a:t>
          </a:r>
        </a:p>
        <a:p>
          <a:pPr algn="ctr"/>
          <a:r>
            <a:rPr lang="pt-BR" sz="1200" b="1"/>
            <a:t>Recebimento</a:t>
          </a:r>
        </a:p>
      </xdr:txBody>
    </xdr:sp>
    <xdr:clientData/>
  </xdr:twoCellAnchor>
  <xdr:twoCellAnchor editAs="oneCell">
    <xdr:from>
      <xdr:col>0</xdr:col>
      <xdr:colOff>1751012</xdr:colOff>
      <xdr:row>0</xdr:row>
      <xdr:rowOff>57149</xdr:rowOff>
    </xdr:from>
    <xdr:to>
      <xdr:col>1</xdr:col>
      <xdr:colOff>1303337</xdr:colOff>
      <xdr:row>2</xdr:row>
      <xdr:rowOff>57150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BF8BDE-EC84-4D44-80FC-E07076714C6A}"/>
            </a:ext>
          </a:extLst>
        </xdr:cNvPr>
        <xdr:cNvSpPr/>
      </xdr:nvSpPr>
      <xdr:spPr>
        <a:xfrm>
          <a:off x="1751012" y="57149"/>
          <a:ext cx="1333500" cy="6667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Movimentação Entradas</a:t>
          </a:r>
          <a:r>
            <a:rPr lang="pt-BR" sz="1200" b="1" baseline="0"/>
            <a:t> e Saídas</a:t>
          </a:r>
          <a:endParaRPr lang="pt-BR" sz="1200" b="1"/>
        </a:p>
      </xdr:txBody>
    </xdr:sp>
    <xdr:clientData/>
  </xdr:twoCellAnchor>
  <xdr:twoCellAnchor editAs="oneCell">
    <xdr:from>
      <xdr:col>2</xdr:col>
      <xdr:colOff>44449</xdr:colOff>
      <xdr:row>0</xdr:row>
      <xdr:rowOff>57149</xdr:rowOff>
    </xdr:from>
    <xdr:to>
      <xdr:col>2</xdr:col>
      <xdr:colOff>1273174</xdr:colOff>
      <xdr:row>2</xdr:row>
      <xdr:rowOff>57150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0DF614-002C-43E4-A117-C153AF6A3F41}"/>
            </a:ext>
          </a:extLst>
        </xdr:cNvPr>
        <xdr:cNvSpPr/>
      </xdr:nvSpPr>
      <xdr:spPr>
        <a:xfrm>
          <a:off x="3606799" y="57149"/>
          <a:ext cx="1228725" cy="6667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Movimento de Caixa</a:t>
          </a:r>
        </a:p>
      </xdr:txBody>
    </xdr:sp>
    <xdr:clientData/>
  </xdr:twoCellAnchor>
  <xdr:twoCellAnchor editAs="oneCell">
    <xdr:from>
      <xdr:col>3</xdr:col>
      <xdr:colOff>14286</xdr:colOff>
      <xdr:row>0</xdr:row>
      <xdr:rowOff>57149</xdr:rowOff>
    </xdr:from>
    <xdr:to>
      <xdr:col>3</xdr:col>
      <xdr:colOff>1243011</xdr:colOff>
      <xdr:row>2</xdr:row>
      <xdr:rowOff>57150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F75C3-4C4A-4689-96B0-52042FACAF6B}"/>
            </a:ext>
          </a:extLst>
        </xdr:cNvPr>
        <xdr:cNvSpPr/>
      </xdr:nvSpPr>
      <xdr:spPr>
        <a:xfrm>
          <a:off x="5357811" y="57149"/>
          <a:ext cx="1228725" cy="6667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Estoque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3</xdr:col>
      <xdr:colOff>1765298</xdr:colOff>
      <xdr:row>0</xdr:row>
      <xdr:rowOff>57149</xdr:rowOff>
    </xdr:from>
    <xdr:to>
      <xdr:col>4</xdr:col>
      <xdr:colOff>1212848</xdr:colOff>
      <xdr:row>2</xdr:row>
      <xdr:rowOff>57150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AB78E0-A6EA-4128-9709-96AF1902B2AE}"/>
            </a:ext>
          </a:extLst>
        </xdr:cNvPr>
        <xdr:cNvSpPr/>
      </xdr:nvSpPr>
      <xdr:spPr>
        <a:xfrm>
          <a:off x="7108823" y="57149"/>
          <a:ext cx="1228725" cy="6667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Dashboard</a:t>
          </a:r>
        </a:p>
        <a:p>
          <a:pPr algn="ctr"/>
          <a:endParaRPr lang="pt-BR" sz="1200" b="1"/>
        </a:p>
      </xdr:txBody>
    </xdr:sp>
    <xdr:clientData/>
  </xdr:twoCellAnchor>
  <xdr:twoCellAnchor editAs="oneCell">
    <xdr:from>
      <xdr:col>4</xdr:col>
      <xdr:colOff>1735135</xdr:colOff>
      <xdr:row>0</xdr:row>
      <xdr:rowOff>57149</xdr:rowOff>
    </xdr:from>
    <xdr:to>
      <xdr:col>5</xdr:col>
      <xdr:colOff>1182685</xdr:colOff>
      <xdr:row>1</xdr:row>
      <xdr:rowOff>9525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889B64B-2319-40A1-9A37-F652E918E1C6}"/>
            </a:ext>
          </a:extLst>
        </xdr:cNvPr>
        <xdr:cNvSpPr/>
      </xdr:nvSpPr>
      <xdr:spPr>
        <a:xfrm>
          <a:off x="8859835" y="57149"/>
          <a:ext cx="1228725" cy="53340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Cliente</a:t>
          </a:r>
        </a:p>
        <a:p>
          <a:pPr algn="ctr"/>
          <a:r>
            <a:rPr lang="pt-BR" sz="1200" b="1">
              <a:solidFill>
                <a:schemeClr val="bg1"/>
              </a:solidFill>
            </a:rPr>
            <a:t>Fornecedor</a:t>
          </a:r>
        </a:p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1704975</xdr:colOff>
      <xdr:row>0</xdr:row>
      <xdr:rowOff>57149</xdr:rowOff>
    </xdr:from>
    <xdr:to>
      <xdr:col>6</xdr:col>
      <xdr:colOff>1152525</xdr:colOff>
      <xdr:row>1</xdr:row>
      <xdr:rowOff>38099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F5E8BB2-71D2-496E-80AC-2C28A17BD5AF}"/>
            </a:ext>
          </a:extLst>
        </xdr:cNvPr>
        <xdr:cNvSpPr/>
      </xdr:nvSpPr>
      <xdr:spPr>
        <a:xfrm>
          <a:off x="10610850" y="57149"/>
          <a:ext cx="1228725" cy="5619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2"/>
              </a:solidFill>
            </a:rPr>
            <a:t>Produtos</a:t>
          </a:r>
        </a:p>
        <a:p>
          <a:pPr algn="ctr"/>
          <a:endParaRPr lang="pt-BR" sz="1200" b="1">
            <a:solidFill>
              <a:schemeClr val="tx2"/>
            </a:solidFill>
          </a:endParaRPr>
        </a:p>
      </xdr:txBody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1228725</xdr:colOff>
      <xdr:row>1</xdr:row>
      <xdr:rowOff>38100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A9EA2E-9EDD-4C8A-A4AB-6756A74DD059}"/>
            </a:ext>
          </a:extLst>
        </xdr:cNvPr>
        <xdr:cNvSpPr/>
      </xdr:nvSpPr>
      <xdr:spPr>
        <a:xfrm>
          <a:off x="12468225" y="0"/>
          <a:ext cx="12287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Movimento de Estoque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5220.994329050925" createdVersion="7" refreshedVersion="7" minRefreshableVersion="3" recordCount="12" xr:uid="{C3FD64BA-A36C-4937-A851-1BDC1ABA1335}">
  <cacheSource type="worksheet">
    <worksheetSource name="Tabela1"/>
  </cacheSource>
  <cacheFields count="6">
    <cacheField name="Data" numFmtId="14">
      <sharedItems containsSemiMixedTypes="0" containsNonDate="0" containsDate="1" containsString="0" minDate="2023-09-01T00:00:00" maxDate="2023-10-22T00:00:00" count="6">
        <d v="2023-09-01T00:00:00"/>
        <d v="2023-10-14T00:00:00"/>
        <d v="2023-10-15T00:00:00"/>
        <d v="2023-10-16T00:00:00"/>
        <d v="2023-10-17T00:00:00"/>
        <d v="2023-10-21T00:00:00"/>
      </sharedItems>
    </cacheField>
    <cacheField name="Tipo" numFmtId="0">
      <sharedItems containsBlank="1" count="3">
        <s v="Saída"/>
        <s v="Entrada"/>
        <m u="1"/>
      </sharedItems>
    </cacheField>
    <cacheField name="Produto" numFmtId="0">
      <sharedItems containsBlank="1" count="3">
        <s v="Samsung Galaxy S22"/>
        <s v="iphone 14s"/>
        <m u="1"/>
      </sharedItems>
    </cacheField>
    <cacheField name="Cliente/Fornecedor" numFmtId="0">
      <sharedItems containsBlank="1" count="6">
        <s v="Samsung do Brasil"/>
        <s v="Vinicius Tessele"/>
        <s v="VisaoNet"/>
        <s v="Nayara"/>
        <s v="Karol"/>
        <m u="1"/>
      </sharedItems>
    </cacheField>
    <cacheField name="Quantidade" numFmtId="0">
      <sharedItems containsSemiMixedTypes="0" containsString="0" containsNumber="1" containsInteger="1" minValue="1" maxValue="10" count="5">
        <n v="6"/>
        <n v="2"/>
        <n v="10"/>
        <n v="1"/>
        <n v="5"/>
      </sharedItems>
    </cacheField>
    <cacheField name="Valor Total" numFmtId="44">
      <sharedItems containsSemiMixedTypes="0" containsString="0" containsNumber="1" containsInteger="1" minValue="2000" maxValue="25000" count="9">
        <n v="12000"/>
        <n v="2000"/>
        <n v="20000"/>
        <n v="3500"/>
        <n v="25000"/>
        <n v="4500"/>
        <n v="3200"/>
        <n v="3800"/>
        <n v="5000"/>
      </sharedItems>
    </cacheField>
  </cacheFields>
  <extLst>
    <ext xmlns:x14="http://schemas.microsoft.com/office/spreadsheetml/2009/9/main" uri="{725AE2AE-9491-48be-B2B4-4EB974FC3084}">
      <x14:pivotCacheDefinition pivotCacheId="12362522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5220.995977314815" createdVersion="7" refreshedVersion="7" minRefreshableVersion="3" recordCount="26" xr:uid="{5CFA5892-53A0-46A1-B8E7-2FC2CD21A8EB}">
  <cacheSource type="worksheet">
    <worksheetSource name="Tabela14"/>
  </cacheSource>
  <cacheFields count="7">
    <cacheField name="Data" numFmtId="14">
      <sharedItems containsSemiMixedTypes="0" containsNonDate="0" containsDate="1" containsString="0" minDate="2023-09-01T00:00:00" maxDate="2023-10-22T00:00:00" count="11">
        <d v="2023-10-14T00:00:00"/>
        <d v="2023-10-15T00:00:00"/>
        <d v="2023-10-10T00:00:00"/>
        <d v="2023-10-09T00:00:00"/>
        <d v="2023-10-11T00:00:00"/>
        <d v="2023-10-12T00:00:00"/>
        <d v="2023-10-13T00:00:00"/>
        <d v="2023-10-16T00:00:00"/>
        <d v="2023-10-17T00:00:00"/>
        <d v="2023-10-21T00:00:00"/>
        <d v="2023-09-01T00:00:00"/>
      </sharedItems>
    </cacheField>
    <cacheField name="Tipo Entradas" numFmtId="0">
      <sharedItems containsBlank="1" count="5">
        <s v="Vendas Avista"/>
        <s v="Vendas parcelado / Entrada"/>
        <m/>
        <s v="Recebimento Parcelas"/>
        <s v="Vendas parcelado" u="1"/>
      </sharedItems>
    </cacheField>
    <cacheField name="Tipo Saída" numFmtId="0">
      <sharedItems containsBlank="1" count="9">
        <m/>
        <s v="Pagamento/Fornecedor"/>
        <s v="Salários"/>
        <s v="Aluguel "/>
        <s v="Água"/>
        <s v="Luz"/>
        <s v="Contador"/>
        <s v="Taxa Cartão"/>
        <s v="Imposto"/>
      </sharedItems>
    </cacheField>
    <cacheField name="Forma de Pagamento" numFmtId="0">
      <sharedItems containsBlank="1" count="6">
        <s v="Dinheiro"/>
        <s v="Débito"/>
        <s v="Pix"/>
        <s v="Crédito"/>
        <s v="Cheque"/>
        <m u="1"/>
      </sharedItems>
    </cacheField>
    <cacheField name="Cliente/Fornecedor" numFmtId="0">
      <sharedItems containsBlank="1" count="10">
        <s v="Vinicius Tessele"/>
        <s v="Samsung do Brasil"/>
        <s v="Nayara"/>
        <s v="Karol"/>
        <s v="Layna"/>
        <s v="VisaoNet"/>
        <s v="sanepar"/>
        <s v="copel"/>
        <s v="Dono do Aluguel"/>
        <m u="1"/>
      </sharedItems>
    </cacheField>
    <cacheField name="Descrição" numFmtId="0">
      <sharedItems containsBlank="1" containsMixedTypes="1" containsNumber="1" containsInteger="1" minValue="1" maxValue="1" count="15">
        <s v="compra de um celular "/>
        <s v="Venda de celuar em 10x"/>
        <s v="Compra de 10 Celulares"/>
        <s v="Pagamento Salário mês de outubro"/>
        <s v="Internet"/>
        <s v="Recebimento 1/10"/>
        <s v="agua mês 10"/>
        <s v="luz mês 10"/>
        <m/>
        <s v="Contador"/>
        <s v="Cielo"/>
        <s v="Governo"/>
        <n v="1"/>
        <s v="Pgamento Luz mês 10"/>
        <s v="Compra Celuar "/>
      </sharedItems>
    </cacheField>
    <cacheField name="Valor Recebido/Pago" numFmtId="44">
      <sharedItems containsSemiMixedTypes="0" containsString="0" containsNumber="1" minValue="80" maxValue="25000" count="23">
        <n v="2500"/>
        <n v="250"/>
        <n v="10000"/>
        <n v="3000"/>
        <n v="1723"/>
        <n v="940"/>
        <n v="850"/>
        <n v="150"/>
        <n v="80"/>
        <n v="300"/>
        <n v="5000"/>
        <n v="15000"/>
        <n v="500"/>
        <n v="400"/>
        <n v="1000"/>
        <n v="4200"/>
        <n v="890"/>
        <n v="1600"/>
        <n v="2000"/>
        <n v="1285"/>
        <n v="3500"/>
        <n v="25000" u="1"/>
        <n v="89.9" u="1"/>
      </sharedItems>
    </cacheField>
  </cacheFields>
  <extLst>
    <ext xmlns:x14="http://schemas.microsoft.com/office/spreadsheetml/2009/9/main" uri="{725AE2AE-9491-48be-B2B4-4EB974FC3084}">
      <x14:pivotCacheDefinition pivotCacheId="205965680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</r>
  <r>
    <x v="1"/>
    <x v="1"/>
    <x v="0"/>
    <x v="0"/>
    <x v="1"/>
    <x v="1"/>
  </r>
  <r>
    <x v="2"/>
    <x v="1"/>
    <x v="0"/>
    <x v="0"/>
    <x v="2"/>
    <x v="2"/>
  </r>
  <r>
    <x v="3"/>
    <x v="0"/>
    <x v="0"/>
    <x v="1"/>
    <x v="3"/>
    <x v="3"/>
  </r>
  <r>
    <x v="3"/>
    <x v="1"/>
    <x v="0"/>
    <x v="0"/>
    <x v="3"/>
    <x v="1"/>
  </r>
  <r>
    <x v="3"/>
    <x v="0"/>
    <x v="0"/>
    <x v="1"/>
    <x v="3"/>
    <x v="3"/>
  </r>
  <r>
    <x v="3"/>
    <x v="1"/>
    <x v="1"/>
    <x v="2"/>
    <x v="4"/>
    <x v="4"/>
  </r>
  <r>
    <x v="3"/>
    <x v="0"/>
    <x v="1"/>
    <x v="1"/>
    <x v="3"/>
    <x v="5"/>
  </r>
  <r>
    <x v="3"/>
    <x v="0"/>
    <x v="0"/>
    <x v="3"/>
    <x v="3"/>
    <x v="6"/>
  </r>
  <r>
    <x v="4"/>
    <x v="0"/>
    <x v="0"/>
    <x v="4"/>
    <x v="3"/>
    <x v="7"/>
  </r>
  <r>
    <x v="5"/>
    <x v="0"/>
    <x v="0"/>
    <x v="4"/>
    <x v="3"/>
    <x v="8"/>
  </r>
  <r>
    <x v="5"/>
    <x v="0"/>
    <x v="0"/>
    <x v="1"/>
    <x v="3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x v="0"/>
    <x v="0"/>
    <x v="0"/>
    <x v="0"/>
    <x v="0"/>
  </r>
  <r>
    <x v="1"/>
    <x v="1"/>
    <x v="0"/>
    <x v="1"/>
    <x v="0"/>
    <x v="1"/>
    <x v="1"/>
  </r>
  <r>
    <x v="1"/>
    <x v="2"/>
    <x v="1"/>
    <x v="0"/>
    <x v="1"/>
    <x v="2"/>
    <x v="2"/>
  </r>
  <r>
    <x v="1"/>
    <x v="2"/>
    <x v="2"/>
    <x v="0"/>
    <x v="2"/>
    <x v="3"/>
    <x v="3"/>
  </r>
  <r>
    <x v="1"/>
    <x v="2"/>
    <x v="2"/>
    <x v="0"/>
    <x v="3"/>
    <x v="3"/>
    <x v="4"/>
  </r>
  <r>
    <x v="1"/>
    <x v="2"/>
    <x v="2"/>
    <x v="0"/>
    <x v="4"/>
    <x v="3"/>
    <x v="5"/>
  </r>
  <r>
    <x v="1"/>
    <x v="2"/>
    <x v="3"/>
    <x v="0"/>
    <x v="5"/>
    <x v="4"/>
    <x v="6"/>
  </r>
  <r>
    <x v="1"/>
    <x v="3"/>
    <x v="0"/>
    <x v="0"/>
    <x v="0"/>
    <x v="5"/>
    <x v="7"/>
  </r>
  <r>
    <x v="1"/>
    <x v="2"/>
    <x v="4"/>
    <x v="0"/>
    <x v="6"/>
    <x v="6"/>
    <x v="8"/>
  </r>
  <r>
    <x v="1"/>
    <x v="2"/>
    <x v="5"/>
    <x v="0"/>
    <x v="7"/>
    <x v="7"/>
    <x v="9"/>
  </r>
  <r>
    <x v="2"/>
    <x v="0"/>
    <x v="0"/>
    <x v="2"/>
    <x v="0"/>
    <x v="8"/>
    <x v="10"/>
  </r>
  <r>
    <x v="3"/>
    <x v="3"/>
    <x v="0"/>
    <x v="1"/>
    <x v="0"/>
    <x v="8"/>
    <x v="11"/>
  </r>
  <r>
    <x v="2"/>
    <x v="2"/>
    <x v="6"/>
    <x v="0"/>
    <x v="0"/>
    <x v="9"/>
    <x v="12"/>
  </r>
  <r>
    <x v="4"/>
    <x v="2"/>
    <x v="7"/>
    <x v="0"/>
    <x v="8"/>
    <x v="10"/>
    <x v="13"/>
  </r>
  <r>
    <x v="4"/>
    <x v="2"/>
    <x v="8"/>
    <x v="0"/>
    <x v="8"/>
    <x v="11"/>
    <x v="14"/>
  </r>
  <r>
    <x v="4"/>
    <x v="0"/>
    <x v="0"/>
    <x v="3"/>
    <x v="2"/>
    <x v="12"/>
    <x v="3"/>
  </r>
  <r>
    <x v="5"/>
    <x v="0"/>
    <x v="0"/>
    <x v="1"/>
    <x v="3"/>
    <x v="12"/>
    <x v="15"/>
  </r>
  <r>
    <x v="6"/>
    <x v="0"/>
    <x v="0"/>
    <x v="4"/>
    <x v="0"/>
    <x v="8"/>
    <x v="16"/>
  </r>
  <r>
    <x v="0"/>
    <x v="1"/>
    <x v="0"/>
    <x v="0"/>
    <x v="2"/>
    <x v="8"/>
    <x v="12"/>
  </r>
  <r>
    <x v="1"/>
    <x v="0"/>
    <x v="0"/>
    <x v="2"/>
    <x v="0"/>
    <x v="8"/>
    <x v="17"/>
  </r>
  <r>
    <x v="7"/>
    <x v="0"/>
    <x v="0"/>
    <x v="2"/>
    <x v="1"/>
    <x v="8"/>
    <x v="18"/>
  </r>
  <r>
    <x v="8"/>
    <x v="1"/>
    <x v="0"/>
    <x v="4"/>
    <x v="4"/>
    <x v="8"/>
    <x v="19"/>
  </r>
  <r>
    <x v="9"/>
    <x v="0"/>
    <x v="0"/>
    <x v="0"/>
    <x v="3"/>
    <x v="1"/>
    <x v="12"/>
  </r>
  <r>
    <x v="9"/>
    <x v="2"/>
    <x v="5"/>
    <x v="0"/>
    <x v="7"/>
    <x v="13"/>
    <x v="1"/>
  </r>
  <r>
    <x v="9"/>
    <x v="0"/>
    <x v="0"/>
    <x v="4"/>
    <x v="0"/>
    <x v="14"/>
    <x v="20"/>
  </r>
  <r>
    <x v="10"/>
    <x v="2"/>
    <x v="2"/>
    <x v="0"/>
    <x v="2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8A4962-6817-4EED-9BF9-BFC3F0C23950}" name="Tabela dinâmica2" cacheId="1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compact="0" compactData="0" multipleFieldFilters="0">
  <location ref="A10:G35" firstHeaderRow="1" firstDataRow="1" firstDataCol="7"/>
  <pivotFields count="7">
    <pivotField axis="axisRow" compact="0" numFmtId="14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m="1" x="4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1"/>
        <item x="2"/>
        <item x="0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1"/>
        <item x="0"/>
        <item x="2"/>
        <item m="1" x="5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3"/>
        <item x="4"/>
        <item x="2"/>
        <item x="1"/>
        <item x="0"/>
        <item x="5"/>
        <item x="6"/>
        <item x="7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2"/>
        <item x="0"/>
        <item x="4"/>
        <item x="3"/>
        <item x="1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4" outline="0" showAll="0" defaultSubtotal="0">
      <items count="23">
        <item m="1" x="22"/>
        <item x="1"/>
        <item x="5"/>
        <item x="4"/>
        <item x="0"/>
        <item x="3"/>
        <item m="1" x="21"/>
        <item x="7"/>
        <item x="6"/>
        <item x="8"/>
        <item x="9"/>
        <item x="10"/>
        <item x="11"/>
        <item x="14"/>
        <item x="12"/>
        <item x="13"/>
        <item x="2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2"/>
    <field x="1"/>
    <field x="3"/>
    <field x="4"/>
    <field x="5"/>
    <field x="6"/>
  </rowFields>
  <rowItems count="25">
    <i>
      <x/>
      <x v="3"/>
      <x/>
      <x v="1"/>
      <x v="4"/>
      <x v="1"/>
      <x v="4"/>
    </i>
    <i r="2">
      <x v="3"/>
      <x v="1"/>
      <x v="2"/>
      <x v="8"/>
      <x v="14"/>
    </i>
    <i>
      <x v="1"/>
      <x/>
      <x v="2"/>
      <x v="1"/>
      <x v="5"/>
      <x v="2"/>
      <x v="8"/>
    </i>
    <i r="1">
      <x v="1"/>
      <x v="2"/>
      <x v="1"/>
      <x v="3"/>
      <x/>
      <x v="16"/>
    </i>
    <i r="1">
      <x v="2"/>
      <x v="2"/>
      <x v="1"/>
      <x/>
      <x v="3"/>
      <x v="3"/>
    </i>
    <i r="4">
      <x v="1"/>
      <x v="3"/>
      <x v="2"/>
    </i>
    <i r="4">
      <x v="2"/>
      <x v="3"/>
      <x v="5"/>
    </i>
    <i r="1">
      <x v="3"/>
      <x/>
      <x v="2"/>
      <x v="4"/>
      <x v="8"/>
      <x v="19"/>
    </i>
    <i r="2">
      <x v="3"/>
      <x/>
      <x v="4"/>
      <x v="4"/>
      <x v="1"/>
    </i>
    <i r="2">
      <x v="4"/>
      <x v="1"/>
      <x v="4"/>
      <x v="5"/>
      <x v="7"/>
    </i>
    <i r="1">
      <x v="4"/>
      <x v="2"/>
      <x v="1"/>
      <x v="6"/>
      <x v="6"/>
      <x v="9"/>
    </i>
    <i r="1">
      <x v="5"/>
      <x v="2"/>
      <x v="1"/>
      <x v="7"/>
      <x v="7"/>
      <x v="10"/>
    </i>
    <i>
      <x v="2"/>
      <x v="3"/>
      <x/>
      <x v="2"/>
      <x v="4"/>
      <x v="8"/>
      <x v="11"/>
    </i>
    <i r="1">
      <x v="6"/>
      <x v="2"/>
      <x v="1"/>
      <x v="4"/>
      <x v="9"/>
      <x v="14"/>
    </i>
    <i>
      <x v="3"/>
      <x v="3"/>
      <x v="4"/>
      <x/>
      <x v="4"/>
      <x v="8"/>
      <x v="12"/>
    </i>
    <i>
      <x v="4"/>
      <x v="3"/>
      <x/>
      <x v="4"/>
      <x v="2"/>
      <x v="12"/>
      <x v="5"/>
    </i>
    <i r="1">
      <x v="7"/>
      <x v="2"/>
      <x v="1"/>
      <x v="8"/>
      <x v="10"/>
      <x v="15"/>
    </i>
    <i r="1">
      <x v="8"/>
      <x v="2"/>
      <x v="1"/>
      <x v="8"/>
      <x v="11"/>
      <x v="13"/>
    </i>
    <i>
      <x v="5"/>
      <x v="3"/>
      <x/>
      <x/>
      <x/>
      <x v="12"/>
      <x v="17"/>
    </i>
    <i>
      <x v="6"/>
      <x v="3"/>
      <x/>
      <x v="5"/>
      <x v="4"/>
      <x v="8"/>
      <x v="18"/>
    </i>
    <i>
      <x v="7"/>
      <x v="3"/>
      <x/>
      <x v="2"/>
      <x v="3"/>
      <x v="8"/>
      <x v="20"/>
    </i>
    <i>
      <x v="8"/>
      <x v="3"/>
      <x v="3"/>
      <x v="5"/>
      <x v="1"/>
      <x v="8"/>
      <x v="21"/>
    </i>
    <i>
      <x v="9"/>
      <x v="3"/>
      <x/>
      <x v="1"/>
      <x/>
      <x v="4"/>
      <x v="14"/>
    </i>
    <i r="3">
      <x v="5"/>
      <x v="4"/>
      <x v="14"/>
      <x v="22"/>
    </i>
    <i r="1">
      <x v="5"/>
      <x v="2"/>
      <x v="1"/>
      <x v="7"/>
      <x v="13"/>
      <x v="1"/>
    </i>
  </rowItems>
  <colItems count="1">
    <i/>
  </colItems>
  <pivotTableStyleInfo name="PivotStyleMedium15" showRowHeaders="1" showColHeaders="1" showRowStripes="0" showColStripes="0" showLastColumn="1"/>
  <filters count="1">
    <filter fld="0" type="dateBetween" evalOrder="-1" id="44" name="Data">
      <autoFilter ref="A1">
        <filterColumn colId="0">
          <customFilters and="1">
            <customFilter operator="greaterThanOrEqual" val="45200"/>
            <customFilter operator="lessThanOrEqual" val="452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F2B8F1-5E19-46EA-929D-229AB4079344}" name="Tabela dinâmica1" cacheId="0" applyNumberFormats="0" applyBorderFormats="0" applyFontFormats="0" applyPatternFormats="0" applyAlignmentFormats="0" applyWidthHeightFormats="1" dataCaption="Valores" updatedVersion="7" minRefreshableVersion="5" useAutoFormatting="1" rowGrandTotals="0" colGrandTotals="0" itemPrintTitles="1" createdVersion="7" indent="0" compact="0" compactData="0" multipleFieldFilters="0">
  <location ref="A10:F21" firstHeaderRow="1" firstDataRow="1" firstDataCol="6"/>
  <pivotFields count="6">
    <pivotField axis="axisRow" compact="0" numFmtId="14" outline="0" showAll="0" defaultSubtotal="0">
      <items count="6">
        <item x="1"/>
        <item x="2"/>
        <item x="3"/>
        <item x="4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3"/>
        <item x="0"/>
        <item x="1"/>
        <item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1"/>
        <item x="4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4" outline="0" showAll="0" defaultSubtotal="0">
      <items count="9">
        <item x="1"/>
        <item x="6"/>
        <item x="3"/>
        <item x="7"/>
        <item x="5"/>
        <item x="2"/>
        <item x="4"/>
        <item x="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1"/>
    <field x="2"/>
    <field x="3"/>
    <field x="4"/>
    <field x="5"/>
  </rowFields>
  <rowItems count="11">
    <i>
      <x/>
      <x/>
      <x v="1"/>
      <x v="2"/>
      <x v="1"/>
      <x/>
    </i>
    <i>
      <x v="1"/>
      <x/>
      <x v="1"/>
      <x v="2"/>
      <x v="3"/>
      <x v="5"/>
    </i>
    <i>
      <x v="2"/>
      <x/>
      <x/>
      <x v="4"/>
      <x v="2"/>
      <x v="6"/>
    </i>
    <i r="2">
      <x v="1"/>
      <x v="2"/>
      <x/>
      <x/>
    </i>
    <i r="1">
      <x v="1"/>
      <x/>
      <x v="3"/>
      <x/>
      <x v="4"/>
    </i>
    <i r="2">
      <x v="1"/>
      <x v="1"/>
      <x/>
      <x v="1"/>
    </i>
    <i r="3">
      <x v="3"/>
      <x/>
      <x v="2"/>
    </i>
    <i>
      <x v="3"/>
      <x v="1"/>
      <x v="1"/>
      <x/>
      <x/>
      <x v="3"/>
    </i>
    <i>
      <x v="4"/>
      <x v="1"/>
      <x v="1"/>
      <x v="2"/>
      <x v="4"/>
      <x v="7"/>
    </i>
    <i>
      <x v="5"/>
      <x v="1"/>
      <x v="1"/>
      <x/>
      <x/>
      <x v="8"/>
    </i>
    <i r="3">
      <x v="3"/>
      <x/>
      <x v="2"/>
    </i>
  </rowItems>
  <colItems count="1">
    <i/>
  </colItems>
  <formats count="12">
    <format dxfId="27">
      <pivotArea field="0" type="button" dataOnly="0" labelOnly="1" outline="0" axis="axisRow" fieldPosition="0"/>
    </format>
    <format dxfId="26">
      <pivotArea field="1" type="button" dataOnly="0" labelOnly="1" outline="0" axis="axisRow" fieldPosition="1"/>
    </format>
    <format dxfId="25">
      <pivotArea field="2" type="button" dataOnly="0" labelOnly="1" outline="0" axis="axisRow" fieldPosition="2"/>
    </format>
    <format dxfId="24">
      <pivotArea field="3" type="button" dataOnly="0" labelOnly="1" outline="0" axis="axisRow" fieldPosition="3"/>
    </format>
    <format dxfId="23">
      <pivotArea field="4" type="button" dataOnly="0" labelOnly="1" outline="0" axis="axisRow" fieldPosition="4"/>
    </format>
    <format dxfId="22">
      <pivotArea field="5" type="button" dataOnly="0" labelOnly="1" outline="0" axis="axisRow" fieldPosition="5"/>
    </format>
    <format dxfId="21">
      <pivotArea field="0" type="button" dataOnly="0" labelOnly="1" outline="0" axis="axisRow" fieldPosition="0"/>
    </format>
    <format dxfId="20">
      <pivotArea field="1" type="button" dataOnly="0" labelOnly="1" outline="0" axis="axisRow" fieldPosition="1"/>
    </format>
    <format dxfId="19">
      <pivotArea field="2" type="button" dataOnly="0" labelOnly="1" outline="0" axis="axisRow" fieldPosition="2"/>
    </format>
    <format dxfId="18">
      <pivotArea field="3" type="button" dataOnly="0" labelOnly="1" outline="0" axis="axisRow" fieldPosition="3"/>
    </format>
    <format dxfId="17">
      <pivotArea field="4" type="button" dataOnly="0" labelOnly="1" outline="0" axis="axisRow" fieldPosition="4"/>
    </format>
    <format dxfId="16">
      <pivotArea field="5" type="button" dataOnly="0" labelOnly="1" outline="0" axis="axisRow" fieldPosition="5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Entradas" xr10:uid="{D4B993BA-95E6-4A8B-A83F-3C52DD9DE205}" sourceName="Tipo Entradas">
  <pivotTables>
    <pivotTable tabId="2" name="Tabela dinâmica2"/>
  </pivotTables>
  <data>
    <tabular pivotCacheId="2059656803">
      <items count="5">
        <i x="3" s="1"/>
        <i x="0" s="1"/>
        <i x="1" s="1"/>
        <i x="2" s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Saída" xr10:uid="{FD48FB86-308B-425D-BDFC-21109FB2070F}" sourceName="Tipo Saída">
  <pivotTables>
    <pivotTable tabId="2" name="Tabela dinâmica2"/>
  </pivotTables>
  <data>
    <tabular pivotCacheId="2059656803">
      <items count="9">
        <i x="4" s="1"/>
        <i x="3" s="1"/>
        <i x="6" s="1"/>
        <i x="8" s="1"/>
        <i x="5" s="1"/>
        <i x="1" s="1"/>
        <i x="2" s="1"/>
        <i x="7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orma_de_Pagamento" xr10:uid="{070560F8-AA5F-4B4C-B0D1-71C304C556EC}" sourceName="Forma de Pagamento">
  <pivotTables>
    <pivotTable tabId="2" name="Tabela dinâmica2"/>
  </pivotTables>
  <data>
    <tabular pivotCacheId="2059656803">
      <items count="6">
        <i x="4" s="1"/>
        <i x="3" s="1"/>
        <i x="1" s="1"/>
        <i x="0" s="1"/>
        <i x="2" s="1"/>
        <i x="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DAFC8794-412F-45D5-8D66-A20DA23628BD}" sourceName="Tipo">
  <pivotTables>
    <pivotTable tabId="9" name="Tabela dinâmica1"/>
  </pivotTables>
  <data>
    <tabular pivotCacheId="1236252237">
      <items count="3">
        <i x="1" s="1"/>
        <i x="0" s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854ED079-CE95-4729-AAB8-9D4968D86E84}" sourceName="Produto">
  <pivotTables>
    <pivotTable tabId="9" name="Tabela dinâmica1"/>
  </pivotTables>
  <data>
    <tabular pivotCacheId="1236252237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Entradas" xr10:uid="{76B5433B-623E-454C-A874-1447DE90C48A}" cache="SegmentaçãodeDados_Tipo_Entradas" caption="Tipo Entradas" rowHeight="241300"/>
  <slicer name="Tipo Saída" xr10:uid="{99384D93-5612-44AF-88FE-22F2EF7C9372}" cache="SegmentaçãodeDados_Tipo_Saída" caption="Tipo Saída" rowHeight="241300"/>
  <slicer name="Forma de Pagamento" xr10:uid="{934B744F-1798-4796-8B3B-33C9A3249ACD}" cache="SegmentaçãodeDados_Forma_de_Pagamento" caption="Forma de Pagam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54389ED7-7E31-47AF-AF7F-E3E4FF7537C3}" cache="SegmentaçãodeDados_Tipo" caption="Tipo" rowHeight="241300"/>
  <slicer name="Produto" xr10:uid="{CD30A4B7-584A-44AD-9C79-E259347D7E68}" cache="SegmentaçãodeDados_Produto" caption="Produ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1" xr10:uid="{5EEA9CFA-4B7F-495A-89B0-DCB033E6DF00}" cache="SegmentaçãodeDados_Tipo" caption="Tipo" rowHeight="241300"/>
  <slicer name="Produto 1" xr10:uid="{217C486B-4B1D-4656-B9CF-CED4142B96EB}" cache="SegmentaçãodeDados_Produto" caption="Produt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454A30-2787-4BD4-870D-243226D8B90C}" name="Tabela14" displayName="Tabela14" ref="A5:G31" totalsRowShown="0" headerRowDxfId="37">
  <autoFilter ref="A5:G31" xr:uid="{C0454A30-2787-4BD4-870D-243226D8B90C}"/>
  <tableColumns count="7">
    <tableColumn id="1" xr3:uid="{6A2E4F6D-5AC1-41C1-BA44-21EC223D949E}" name="Data" dataDxfId="36"/>
    <tableColumn id="2" xr3:uid="{776B239E-D3B7-41CB-A365-15DF7CFC0558}" name="Tipo Entradas" dataDxfId="35"/>
    <tableColumn id="7" xr3:uid="{B1294972-B2E5-4D51-8577-89BB2C8B547D}" name="Tipo Saída" dataDxfId="34"/>
    <tableColumn id="3" xr3:uid="{D1A74F6E-1235-432E-A6DF-6A95354ECBF0}" name="Forma de Pagamento" dataDxfId="33"/>
    <tableColumn id="6" xr3:uid="{7D94C480-A79F-43C9-922E-507648E5C06A}" name="Cliente/Fornecedor"/>
    <tableColumn id="8" xr3:uid="{D48CAA6D-3BAA-449B-823D-BB839E928098}" name="Descrição"/>
    <tableColumn id="5" xr3:uid="{AD2A1E19-7165-48DC-9161-674917FDD3ED}" name="Valor Recebido/Pago" dataDxfId="32" dataCellStyle="Moed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F3EF1A-A112-4915-BE30-F650D16EC8F2}" name="Tabela1" displayName="Tabela1" ref="A5:F17" totalsRowShown="0" headerRowDxfId="31">
  <autoFilter ref="A5:F17" xr:uid="{E0F3EF1A-A112-4915-BE30-F650D16EC8F2}"/>
  <tableColumns count="6">
    <tableColumn id="1" xr3:uid="{4AA72945-2E13-4A37-B71E-AD171705C27E}" name="Data" dataDxfId="30"/>
    <tableColumn id="2" xr3:uid="{A2A88146-901A-4968-B469-DF99517D7B16}" name="Tipo"/>
    <tableColumn id="3" xr3:uid="{1F696D15-E036-447D-9079-738ADFF3A163}" name="Produto"/>
    <tableColumn id="6" xr3:uid="{EE8883BD-1665-4858-90E0-1BFAF5B67B73}" name="Cliente/Fornecedor"/>
    <tableColumn id="4" xr3:uid="{4ADCBD58-3D88-4CE8-A87B-FAB372477B74}" name="Quantidade" dataDxfId="29"/>
    <tableColumn id="5" xr3:uid="{65BF895B-3912-4C17-98A3-A622D5F5BDA3}" name="Valor Total" dataDxfId="28" dataCellStyle="Moeda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A462D9-AAF3-44BA-8E85-4D69DF9D108C}" name="Tabela2" displayName="Tabela2" ref="A5:H7" totalsRowShown="0" headerRowDxfId="13">
  <autoFilter ref="A5:H7" xr:uid="{7DA462D9-AAF3-44BA-8E85-4D69DF9D108C}"/>
  <tableColumns count="8">
    <tableColumn id="1" xr3:uid="{AAFB168C-6BC0-4B7D-97B4-2F070CF44A5C}" name="Produto"/>
    <tableColumn id="2" xr3:uid="{4A688654-DC92-4852-96FC-FAE4295D5768}" name="Estoque Inicial" dataDxfId="12"/>
    <tableColumn id="3" xr3:uid="{B09B1251-174A-4381-B05D-E08302310DB2}" name="Entradas" dataDxfId="11">
      <calculatedColumnFormula>SUMIFS('Movimentação EntradaSaída'!E:E,'Movimentação EntradaSaída'!B:B,Parâmetros!$A$2,'Movimentação EntradaSaída'!C:C,Tabela2[[#This Row],[Produto]])</calculatedColumnFormula>
    </tableColumn>
    <tableColumn id="4" xr3:uid="{7D8CFC61-D012-4DE0-ADF6-4C3BB0A346D6}" name="Saídas" dataDxfId="10">
      <calculatedColumnFormula>SUMIFS('Movimentação EntradaSaída'!E:E,'Movimentação EntradaSaída'!B:B,Parâmetros!$A$3,'Movimentação EntradaSaída'!C:C,Tabela2[[#This Row],[Produto]])</calculatedColumnFormula>
    </tableColumn>
    <tableColumn id="5" xr3:uid="{EE5CB7E0-7B49-41E8-A000-DF21783BAF39}" name="Estoque Atual" dataDxfId="9">
      <calculatedColumnFormula>Tabela2[[#This Row],[Entradas]]-Tabela2[[#This Row],[Saídas]]+Tabela2[[#This Row],[Estoque Inicial]]</calculatedColumnFormula>
    </tableColumn>
    <tableColumn id="6" xr3:uid="{857A789D-61FB-4551-B7E4-5D771DCD1F79}" name="Valor Médio Unitário Compra" dataDxfId="8" dataCellStyle="Moeda">
      <calculatedColumnFormula>IFERROR(SUMIFS('Movimentação EntradaSaída'!F:F,'Movimentação EntradaSaída'!B:B,Parâmetros!$A$2,'Movimentação EntradaSaída'!C:C,Tabela2[[#This Row],[Produto]])/Tabela2[[#This Row],[Entradas]],)</calculatedColumnFormula>
    </tableColumn>
    <tableColumn id="7" xr3:uid="{370C9220-22A6-4B9E-AB56-24C03355AA1C}" name="Valor Médio Unitário Venda" dataDxfId="7">
      <calculatedColumnFormula>IFERROR(SUMIFS('Movimentação EntradaSaída'!F:F,'Movimentação EntradaSaída'!B:B,Parâmetros!$A$3,'Movimentação EntradaSaída'!C:C,Tabela2[[#This Row],[Produto]])/Tabela2[[#This Row],[Saídas]],)</calculatedColumnFormula>
    </tableColumn>
    <tableColumn id="8" xr3:uid="{854EE95C-7F77-4A4B-93E4-5299FDAE3434}" name="Valor Total " dataDxfId="6">
      <calculatedColumnFormula>Tabela2[[#This Row],[Estoque Atual]]*Tabela2[[#This Row],[Valor Médio Unitário Compra]]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6C85FAC-A186-4D33-89BE-6E6ED825A550}" name="Tabela5" displayName="Tabela5" ref="A5:D14" totalsRowShown="0" headerRowDxfId="5" tableBorderDxfId="4">
  <autoFilter ref="A5:D14" xr:uid="{F6C85FAC-A186-4D33-89BE-6E6ED825A550}"/>
  <tableColumns count="4">
    <tableColumn id="1" xr3:uid="{68FDC1F1-71F2-4E2E-9C24-AC28CFF868E4}" name="Nome"/>
    <tableColumn id="2" xr3:uid="{9893D7FE-BDB6-4DD0-B8ED-359378AF160A}" name="Endereço"/>
    <tableColumn id="3" xr3:uid="{E47A1BB0-1B50-49D9-80AB-59270C9A8BD0}" name="Telefone"/>
    <tableColumn id="4" xr3:uid="{934699DA-B168-49C0-8B98-AA66D9853846}" name="Tipo" dataDxfId="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C8FF58-DD0D-419A-A667-9EB3A40F8337}" name="Tabela4" displayName="Tabela4" ref="A5:D7" totalsRowShown="0" headerRowDxfId="2">
  <autoFilter ref="A5:D7" xr:uid="{09C8FF58-DD0D-419A-A667-9EB3A40F8337}"/>
  <tableColumns count="4">
    <tableColumn id="1" xr3:uid="{9CDDF8F0-7806-4655-ABDD-CE326931EE6B}" name="Produtos"/>
    <tableColumn id="2" xr3:uid="{A775B1F7-0299-435E-99E8-02F0D88CBFCF}" name="Valor Custo" dataCellStyle="Moeda"/>
    <tableColumn id="4" xr3:uid="{B40CC26C-BD31-47DE-829B-D5D3EE8E3CED}" name="Margem" dataDxfId="1" dataCellStyle="Porcentagem">
      <calculatedColumnFormula>Parâmetros!$N$2</calculatedColumnFormula>
    </tableColumn>
    <tableColumn id="3" xr3:uid="{7AA9365D-DFA8-4247-903D-9C8989B3247A}" name="Valor Venda" dataDxfId="0" dataCellStyle="Moeda">
      <calculatedColumnFormula>Tabela4[[#This Row],[Valor Custo]]*Tabela4[[#This Row],[Margem]]+Tabela4[[#This Row],[Valor Custo]]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9E3DF546-880F-4D5E-9B72-5CD19CDED987}" sourceName="Data">
  <pivotTables>
    <pivotTable tabId="2" name="Tabela dinâmica2"/>
  </pivotTables>
  <state minimalRefreshVersion="6" lastRefreshVersion="6" pivotCacheId="2059656803" filterType="dateBetween">
    <selection startDate="2023-10-01T00:00:00" endDate="2023-10-31T00:00:00"/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1" xr10:uid="{5EBCF267-1AEE-4054-8CCB-3580BCDFB94B}" sourceName="Data">
  <pivotTables>
    <pivotTable tabId="9" name="Tabela dinâmica1"/>
  </pivotTables>
  <state minimalRefreshVersion="6" lastRefreshVersion="6" pivotCacheId="1236252237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20C9AE6C-0856-4723-9EC4-F352F1EC205A}" cache="NativeTimeline_Data" caption="Data" showSelectionLabel="0" showHorizontalScrollbar="0" level="2" selectionLevel="2" scrollPosition="2023-05-1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2" xr10:uid="{BE8EF7FD-E304-4157-8DB9-73A235A7DF8A}" cache="NativeTimeline_Data1" caption="Data" level="2" selectionLevel="2" scrollPosition="2023-05-19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1" xr10:uid="{CE76D7AE-BD88-4685-9642-7F1B15539837}" cache="NativeTimeline_Data" caption="Data" showSelectionLabel="0" showHorizontalScrollbar="0" level="2" selectionLevel="2" scrollPosition="2023-06-16T00:00:00"/>
  <timeline name="Data 3" xr10:uid="{3B74BB81-243D-4B2B-9F85-25375783A787}" cache="NativeTimeline_Data1" caption="Data" showSelectionLabel="0" showHorizontalScrollbar="0" level="2" selectionLevel="2" scrollPosition="2023-05-01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3.xml"/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BAEC2-3602-49A8-B7A5-82537AC09CFF}">
  <sheetPr>
    <tabColor theme="4"/>
  </sheetPr>
  <dimension ref="A1:M31"/>
  <sheetViews>
    <sheetView showGridLines="0" tabSelected="1" zoomScale="235" zoomScaleNormal="235" workbookViewId="0"/>
  </sheetViews>
  <sheetFormatPr defaultRowHeight="15" x14ac:dyDescent="0.25"/>
  <cols>
    <col min="1" max="1" width="10.7109375" bestFit="1" customWidth="1"/>
    <col min="2" max="2" width="17.42578125" bestFit="1" customWidth="1"/>
    <col min="3" max="3" width="22.42578125" bestFit="1" customWidth="1"/>
    <col min="4" max="4" width="26.85546875" bestFit="1" customWidth="1"/>
    <col min="5" max="6" width="35.28515625" customWidth="1"/>
    <col min="7" max="7" width="26.5703125" bestFit="1" customWidth="1"/>
  </cols>
  <sheetData>
    <row r="1" spans="1:13" ht="52.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6.75" customHeight="1" x14ac:dyDescent="0.25"/>
    <row r="3" spans="1:13" ht="36" x14ac:dyDescent="0.55000000000000004">
      <c r="A3" s="13"/>
      <c r="B3" s="13"/>
      <c r="C3" s="13" t="s">
        <v>92</v>
      </c>
      <c r="D3" s="13"/>
      <c r="E3" s="13"/>
      <c r="F3" s="13"/>
      <c r="G3" s="13"/>
    </row>
    <row r="4" spans="1:13" ht="9" customHeight="1" x14ac:dyDescent="0.25"/>
    <row r="5" spans="1:13" ht="15.75" x14ac:dyDescent="0.25">
      <c r="A5" s="3" t="s">
        <v>12</v>
      </c>
      <c r="B5" s="1" t="s">
        <v>39</v>
      </c>
      <c r="C5" s="1" t="s">
        <v>41</v>
      </c>
      <c r="D5" s="3" t="s">
        <v>40</v>
      </c>
      <c r="E5" s="3" t="s">
        <v>43</v>
      </c>
      <c r="F5" s="3" t="s">
        <v>17</v>
      </c>
      <c r="G5" s="3" t="s">
        <v>53</v>
      </c>
    </row>
    <row r="6" spans="1:13" x14ac:dyDescent="0.25">
      <c r="A6" s="4">
        <v>45213</v>
      </c>
      <c r="B6" s="2" t="s">
        <v>31</v>
      </c>
      <c r="C6" s="2"/>
      <c r="D6" s="2" t="s">
        <v>33</v>
      </c>
      <c r="E6" t="s">
        <v>49</v>
      </c>
      <c r="F6" t="s">
        <v>51</v>
      </c>
      <c r="G6" s="5">
        <v>2500</v>
      </c>
    </row>
    <row r="7" spans="1:13" x14ac:dyDescent="0.25">
      <c r="A7" s="4">
        <v>45214</v>
      </c>
      <c r="B7" s="2" t="s">
        <v>65</v>
      </c>
      <c r="C7" s="2"/>
      <c r="D7" s="2" t="s">
        <v>34</v>
      </c>
      <c r="E7" t="s">
        <v>49</v>
      </c>
      <c r="F7" t="s">
        <v>52</v>
      </c>
      <c r="G7" s="5">
        <v>250</v>
      </c>
    </row>
    <row r="8" spans="1:13" x14ac:dyDescent="0.25">
      <c r="A8" s="4">
        <v>45214</v>
      </c>
      <c r="B8" s="2"/>
      <c r="C8" s="2" t="s">
        <v>18</v>
      </c>
      <c r="D8" s="2" t="s">
        <v>33</v>
      </c>
      <c r="E8" t="s">
        <v>54</v>
      </c>
      <c r="F8" t="s">
        <v>56</v>
      </c>
      <c r="G8" s="5">
        <v>10000</v>
      </c>
    </row>
    <row r="9" spans="1:13" x14ac:dyDescent="0.25">
      <c r="A9" s="4">
        <v>45214</v>
      </c>
      <c r="B9" s="2"/>
      <c r="C9" s="2" t="s">
        <v>19</v>
      </c>
      <c r="D9" s="2" t="s">
        <v>33</v>
      </c>
      <c r="E9" t="s">
        <v>68</v>
      </c>
      <c r="F9" t="s">
        <v>58</v>
      </c>
      <c r="G9" s="35">
        <v>3000</v>
      </c>
    </row>
    <row r="10" spans="1:13" x14ac:dyDescent="0.25">
      <c r="A10" s="4">
        <v>45214</v>
      </c>
      <c r="B10" s="2"/>
      <c r="C10" s="2" t="s">
        <v>19</v>
      </c>
      <c r="D10" s="2" t="s">
        <v>33</v>
      </c>
      <c r="E10" t="s">
        <v>70</v>
      </c>
      <c r="F10" t="s">
        <v>58</v>
      </c>
      <c r="G10" s="5">
        <v>1723</v>
      </c>
    </row>
    <row r="11" spans="1:13" x14ac:dyDescent="0.25">
      <c r="A11" s="4">
        <v>45214</v>
      </c>
      <c r="B11" s="2"/>
      <c r="C11" s="2" t="s">
        <v>19</v>
      </c>
      <c r="D11" s="2" t="s">
        <v>33</v>
      </c>
      <c r="E11" t="s">
        <v>59</v>
      </c>
      <c r="F11" t="s">
        <v>58</v>
      </c>
      <c r="G11" s="5">
        <v>940</v>
      </c>
    </row>
    <row r="12" spans="1:13" x14ac:dyDescent="0.25">
      <c r="A12" s="4">
        <v>45214</v>
      </c>
      <c r="B12" s="2"/>
      <c r="C12" s="2" t="s">
        <v>20</v>
      </c>
      <c r="D12" s="2" t="s">
        <v>33</v>
      </c>
      <c r="E12" t="s">
        <v>62</v>
      </c>
      <c r="F12" t="s">
        <v>22</v>
      </c>
      <c r="G12" s="5">
        <v>850</v>
      </c>
    </row>
    <row r="13" spans="1:13" x14ac:dyDescent="0.25">
      <c r="A13" s="4">
        <v>45214</v>
      </c>
      <c r="B13" s="2" t="s">
        <v>38</v>
      </c>
      <c r="C13" s="2"/>
      <c r="D13" s="2" t="s">
        <v>33</v>
      </c>
      <c r="E13" t="s">
        <v>49</v>
      </c>
      <c r="F13" t="s">
        <v>66</v>
      </c>
      <c r="G13" s="5">
        <v>150</v>
      </c>
    </row>
    <row r="14" spans="1:13" x14ac:dyDescent="0.25">
      <c r="A14" s="4">
        <v>45214</v>
      </c>
      <c r="B14" s="2"/>
      <c r="C14" s="2" t="s">
        <v>21</v>
      </c>
      <c r="D14" s="2" t="s">
        <v>33</v>
      </c>
      <c r="E14" t="s">
        <v>75</v>
      </c>
      <c r="F14" t="s">
        <v>76</v>
      </c>
      <c r="G14" s="5">
        <v>80</v>
      </c>
    </row>
    <row r="15" spans="1:13" x14ac:dyDescent="0.25">
      <c r="A15" s="4">
        <v>45214</v>
      </c>
      <c r="B15" s="2"/>
      <c r="C15" s="2" t="s">
        <v>23</v>
      </c>
      <c r="D15" s="2" t="s">
        <v>33</v>
      </c>
      <c r="E15" t="s">
        <v>77</v>
      </c>
      <c r="F15" t="s">
        <v>78</v>
      </c>
      <c r="G15" s="5">
        <v>300</v>
      </c>
    </row>
    <row r="16" spans="1:13" x14ac:dyDescent="0.25">
      <c r="A16" s="4">
        <v>45209</v>
      </c>
      <c r="B16" s="2" t="s">
        <v>31</v>
      </c>
      <c r="C16" s="2"/>
      <c r="D16" s="2" t="s">
        <v>36</v>
      </c>
      <c r="E16" t="s">
        <v>49</v>
      </c>
      <c r="G16" s="5">
        <v>5000</v>
      </c>
    </row>
    <row r="17" spans="1:7" x14ac:dyDescent="0.25">
      <c r="A17" s="4">
        <v>45208</v>
      </c>
      <c r="B17" s="2" t="s">
        <v>38</v>
      </c>
      <c r="C17" s="2"/>
      <c r="D17" s="2" t="s">
        <v>34</v>
      </c>
      <c r="E17" t="s">
        <v>49</v>
      </c>
      <c r="G17" s="5">
        <v>15000</v>
      </c>
    </row>
    <row r="18" spans="1:7" x14ac:dyDescent="0.25">
      <c r="A18" s="4">
        <v>45209</v>
      </c>
      <c r="B18" s="2"/>
      <c r="C18" s="2" t="s">
        <v>27</v>
      </c>
      <c r="D18" s="2" t="s">
        <v>33</v>
      </c>
      <c r="E18" t="s">
        <v>49</v>
      </c>
      <c r="F18" t="s">
        <v>27</v>
      </c>
      <c r="G18" s="5">
        <v>500</v>
      </c>
    </row>
    <row r="19" spans="1:7" x14ac:dyDescent="0.25">
      <c r="A19" s="4">
        <v>45210</v>
      </c>
      <c r="B19" s="2"/>
      <c r="C19" s="2" t="s">
        <v>99</v>
      </c>
      <c r="D19" s="2" t="s">
        <v>33</v>
      </c>
      <c r="E19" t="s">
        <v>60</v>
      </c>
      <c r="F19" t="s">
        <v>101</v>
      </c>
      <c r="G19" s="5">
        <v>400</v>
      </c>
    </row>
    <row r="20" spans="1:7" x14ac:dyDescent="0.25">
      <c r="A20" s="4">
        <v>45210</v>
      </c>
      <c r="B20" s="2"/>
      <c r="C20" s="2" t="s">
        <v>100</v>
      </c>
      <c r="D20" s="2" t="s">
        <v>33</v>
      </c>
      <c r="E20" t="s">
        <v>60</v>
      </c>
      <c r="F20" t="s">
        <v>102</v>
      </c>
      <c r="G20" s="5">
        <v>1000</v>
      </c>
    </row>
    <row r="21" spans="1:7" x14ac:dyDescent="0.25">
      <c r="A21" s="4">
        <v>45210</v>
      </c>
      <c r="B21" s="2" t="s">
        <v>31</v>
      </c>
      <c r="C21" s="2"/>
      <c r="D21" s="2" t="s">
        <v>35</v>
      </c>
      <c r="E21" t="s">
        <v>68</v>
      </c>
      <c r="F21">
        <v>1</v>
      </c>
      <c r="G21" s="5">
        <v>3000</v>
      </c>
    </row>
    <row r="22" spans="1:7" x14ac:dyDescent="0.25">
      <c r="A22" s="4">
        <v>45211</v>
      </c>
      <c r="B22" s="2" t="s">
        <v>31</v>
      </c>
      <c r="C22" s="2"/>
      <c r="D22" s="2" t="s">
        <v>34</v>
      </c>
      <c r="E22" t="s">
        <v>70</v>
      </c>
      <c r="F22">
        <v>1</v>
      </c>
      <c r="G22" s="5">
        <v>4200</v>
      </c>
    </row>
    <row r="23" spans="1:7" x14ac:dyDescent="0.25">
      <c r="A23" s="4">
        <v>45212</v>
      </c>
      <c r="B23" s="2" t="s">
        <v>31</v>
      </c>
      <c r="C23" s="2"/>
      <c r="D23" s="2" t="s">
        <v>37</v>
      </c>
      <c r="E23" t="s">
        <v>49</v>
      </c>
      <c r="G23" s="5">
        <v>890</v>
      </c>
    </row>
    <row r="24" spans="1:7" x14ac:dyDescent="0.25">
      <c r="A24" s="4">
        <v>45213</v>
      </c>
      <c r="B24" s="2" t="s">
        <v>65</v>
      </c>
      <c r="C24" s="2"/>
      <c r="D24" s="2" t="s">
        <v>33</v>
      </c>
      <c r="E24" t="s">
        <v>68</v>
      </c>
      <c r="G24" s="5">
        <v>500</v>
      </c>
    </row>
    <row r="25" spans="1:7" x14ac:dyDescent="0.25">
      <c r="A25" s="4">
        <v>45214</v>
      </c>
      <c r="B25" s="2" t="s">
        <v>31</v>
      </c>
      <c r="C25" s="2"/>
      <c r="D25" s="2" t="s">
        <v>36</v>
      </c>
      <c r="E25" t="s">
        <v>49</v>
      </c>
      <c r="G25" s="5">
        <v>1600</v>
      </c>
    </row>
    <row r="26" spans="1:7" x14ac:dyDescent="0.25">
      <c r="A26" s="4">
        <v>45215</v>
      </c>
      <c r="B26" s="2" t="s">
        <v>31</v>
      </c>
      <c r="C26" s="2"/>
      <c r="D26" s="2" t="s">
        <v>36</v>
      </c>
      <c r="E26" t="s">
        <v>54</v>
      </c>
      <c r="G26" s="5">
        <v>2000</v>
      </c>
    </row>
    <row r="27" spans="1:7" x14ac:dyDescent="0.25">
      <c r="A27" s="4">
        <v>45216</v>
      </c>
      <c r="B27" s="2" t="s">
        <v>65</v>
      </c>
      <c r="C27" s="2"/>
      <c r="D27" s="2" t="s">
        <v>37</v>
      </c>
      <c r="E27" t="s">
        <v>59</v>
      </c>
      <c r="G27" s="5">
        <v>1285</v>
      </c>
    </row>
    <row r="28" spans="1:7" x14ac:dyDescent="0.25">
      <c r="A28" s="4">
        <v>45220</v>
      </c>
      <c r="B28" s="2" t="s">
        <v>31</v>
      </c>
      <c r="C28" s="2"/>
      <c r="D28" s="2" t="s">
        <v>33</v>
      </c>
      <c r="E28" t="s">
        <v>70</v>
      </c>
      <c r="F28" t="s">
        <v>52</v>
      </c>
      <c r="G28" s="5">
        <v>500</v>
      </c>
    </row>
    <row r="29" spans="1:7" x14ac:dyDescent="0.25">
      <c r="A29" s="4">
        <v>45220</v>
      </c>
      <c r="B29" s="2"/>
      <c r="C29" s="2" t="s">
        <v>23</v>
      </c>
      <c r="D29" s="2" t="s">
        <v>33</v>
      </c>
      <c r="E29" t="s">
        <v>74</v>
      </c>
      <c r="F29" t="s">
        <v>118</v>
      </c>
      <c r="G29" s="5">
        <v>250</v>
      </c>
    </row>
    <row r="30" spans="1:7" x14ac:dyDescent="0.25">
      <c r="A30" s="4">
        <v>45220</v>
      </c>
      <c r="B30" s="2" t="s">
        <v>31</v>
      </c>
      <c r="C30" s="2"/>
      <c r="D30" s="2" t="s">
        <v>37</v>
      </c>
      <c r="E30" t="s">
        <v>49</v>
      </c>
      <c r="F30" t="s">
        <v>119</v>
      </c>
      <c r="G30" s="5">
        <v>3500</v>
      </c>
    </row>
    <row r="31" spans="1:7" x14ac:dyDescent="0.25">
      <c r="A31" s="4">
        <v>45170</v>
      </c>
      <c r="B31" s="2"/>
      <c r="C31" s="2" t="s">
        <v>19</v>
      </c>
      <c r="D31" s="2" t="s">
        <v>33</v>
      </c>
      <c r="E31" t="s">
        <v>68</v>
      </c>
      <c r="G31" s="5">
        <v>5000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337B79-71F2-4AA0-B440-C3B4B0E2115F}">
          <x14:formula1>
            <xm:f>Parâmetros!$F:$F</xm:f>
          </x14:formula1>
          <xm:sqref>B6:B31</xm:sqref>
        </x14:dataValidation>
        <x14:dataValidation type="list" allowBlank="1" showInputMessage="1" showErrorMessage="1" xr:uid="{52FEF86D-550B-4853-A5B7-13D02BB11FFB}">
          <x14:formula1>
            <xm:f>Parâmetros!$D:$D</xm:f>
          </x14:formula1>
          <xm:sqref>C6:C31</xm:sqref>
        </x14:dataValidation>
        <x14:dataValidation type="list" allowBlank="1" showInputMessage="1" showErrorMessage="1" xr:uid="{77F8880E-375A-4FBD-9F4F-2A1F19F6D858}">
          <x14:formula1>
            <xm:f>Parâmetros!$H:$H</xm:f>
          </x14:formula1>
          <xm:sqref>D6:D31</xm:sqref>
        </x14:dataValidation>
        <x14:dataValidation type="list" allowBlank="1" showInputMessage="1" showErrorMessage="1" xr:uid="{C51CC172-7F88-4336-85FB-FBB86BB0A80F}">
          <x14:formula1>
            <xm:f>'Cliente-Fornecedor'!$A$5:$A$27</xm:f>
          </x14:formula1>
          <xm:sqref>E6:E31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0F7BD-26A9-4D10-AF7F-92E5FA6F6DB7}">
  <sheetPr>
    <tabColor theme="5"/>
  </sheetPr>
  <dimension ref="A1:V17"/>
  <sheetViews>
    <sheetView showGridLines="0" workbookViewId="0"/>
  </sheetViews>
  <sheetFormatPr defaultRowHeight="15" x14ac:dyDescent="0.25"/>
  <cols>
    <col min="1" max="1" width="11.7109375" bestFit="1" customWidth="1"/>
    <col min="2" max="2" width="13.140625" customWidth="1"/>
    <col min="3" max="3" width="18.85546875" bestFit="1" customWidth="1"/>
    <col min="4" max="4" width="24.7109375" bestFit="1" customWidth="1"/>
    <col min="5" max="5" width="17.140625" bestFit="1" customWidth="1"/>
    <col min="6" max="6" width="16.28515625" bestFit="1" customWidth="1"/>
    <col min="13" max="13" width="15.42578125" customWidth="1"/>
  </cols>
  <sheetData>
    <row r="1" spans="1:22" ht="50.2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22" ht="6.75" customHeight="1" x14ac:dyDescent="0.25"/>
    <row r="3" spans="1:22" ht="36" customHeight="1" x14ac:dyDescent="0.55000000000000004">
      <c r="A3" s="13" t="s">
        <v>87</v>
      </c>
      <c r="B3" s="13"/>
      <c r="C3" s="13"/>
      <c r="D3" s="13"/>
      <c r="E3" s="13"/>
      <c r="F3" s="13"/>
    </row>
    <row r="4" spans="1:22" ht="9" customHeight="1" x14ac:dyDescent="0.25"/>
    <row r="5" spans="1:22" ht="15.75" x14ac:dyDescent="0.25">
      <c r="A5" s="3" t="s">
        <v>12</v>
      </c>
      <c r="B5" s="3" t="s">
        <v>0</v>
      </c>
      <c r="C5" s="3" t="s">
        <v>4</v>
      </c>
      <c r="D5" s="3" t="s">
        <v>43</v>
      </c>
      <c r="E5" s="3" t="s">
        <v>5</v>
      </c>
      <c r="F5" s="3" t="s">
        <v>13</v>
      </c>
    </row>
    <row r="6" spans="1:22" x14ac:dyDescent="0.25">
      <c r="A6" s="4">
        <v>45170</v>
      </c>
      <c r="B6" t="s">
        <v>2</v>
      </c>
      <c r="C6" t="s">
        <v>11</v>
      </c>
      <c r="D6" t="s">
        <v>54</v>
      </c>
      <c r="E6" s="2">
        <v>6</v>
      </c>
      <c r="F6" s="5">
        <v>12000</v>
      </c>
    </row>
    <row r="7" spans="1:22" x14ac:dyDescent="0.25">
      <c r="A7" s="4">
        <v>45213</v>
      </c>
      <c r="B7" t="s">
        <v>1</v>
      </c>
      <c r="C7" t="s">
        <v>11</v>
      </c>
      <c r="D7" t="s">
        <v>54</v>
      </c>
      <c r="E7" s="2">
        <v>2</v>
      </c>
      <c r="F7" s="5">
        <v>2000</v>
      </c>
    </row>
    <row r="8" spans="1:22" x14ac:dyDescent="0.25">
      <c r="A8" s="4">
        <v>45214</v>
      </c>
      <c r="B8" t="s">
        <v>1</v>
      </c>
      <c r="C8" t="s">
        <v>11</v>
      </c>
      <c r="D8" t="s">
        <v>54</v>
      </c>
      <c r="E8" s="2">
        <v>10</v>
      </c>
      <c r="F8" s="5">
        <v>20000</v>
      </c>
    </row>
    <row r="9" spans="1:22" x14ac:dyDescent="0.25">
      <c r="A9" s="4">
        <v>45215</v>
      </c>
      <c r="B9" t="s">
        <v>2</v>
      </c>
      <c r="C9" t="s">
        <v>11</v>
      </c>
      <c r="D9" t="s">
        <v>49</v>
      </c>
      <c r="E9" s="2">
        <v>1</v>
      </c>
      <c r="F9" s="5">
        <v>3500</v>
      </c>
    </row>
    <row r="10" spans="1:22" x14ac:dyDescent="0.25">
      <c r="A10" s="4">
        <v>45215</v>
      </c>
      <c r="B10" t="s">
        <v>1</v>
      </c>
      <c r="C10" t="s">
        <v>11</v>
      </c>
      <c r="D10" t="s">
        <v>54</v>
      </c>
      <c r="E10" s="2">
        <v>1</v>
      </c>
      <c r="F10" s="5">
        <v>2000</v>
      </c>
    </row>
    <row r="11" spans="1:22" x14ac:dyDescent="0.25">
      <c r="A11" s="4">
        <v>45215</v>
      </c>
      <c r="B11" t="s">
        <v>2</v>
      </c>
      <c r="C11" t="s">
        <v>11</v>
      </c>
      <c r="D11" t="s">
        <v>49</v>
      </c>
      <c r="E11" s="2">
        <v>1</v>
      </c>
      <c r="F11" s="5">
        <v>3500</v>
      </c>
    </row>
    <row r="12" spans="1:22" x14ac:dyDescent="0.25">
      <c r="A12" s="4">
        <v>45215</v>
      </c>
      <c r="B12" t="s">
        <v>1</v>
      </c>
      <c r="C12" t="s">
        <v>10</v>
      </c>
      <c r="D12" t="s">
        <v>62</v>
      </c>
      <c r="E12" s="2">
        <v>5</v>
      </c>
      <c r="F12" s="5">
        <v>25000</v>
      </c>
    </row>
    <row r="13" spans="1:22" x14ac:dyDescent="0.25">
      <c r="A13" s="4">
        <v>45215</v>
      </c>
      <c r="B13" t="s">
        <v>2</v>
      </c>
      <c r="C13" t="s">
        <v>10</v>
      </c>
      <c r="D13" t="s">
        <v>49</v>
      </c>
      <c r="E13" s="2">
        <v>1</v>
      </c>
      <c r="F13" s="5">
        <v>4500</v>
      </c>
    </row>
    <row r="14" spans="1:22" x14ac:dyDescent="0.25">
      <c r="A14" s="4">
        <v>45215</v>
      </c>
      <c r="B14" t="s">
        <v>2</v>
      </c>
      <c r="C14" t="s">
        <v>11</v>
      </c>
      <c r="D14" t="s">
        <v>68</v>
      </c>
      <c r="E14" s="2">
        <v>1</v>
      </c>
      <c r="F14" s="5">
        <v>3200</v>
      </c>
    </row>
    <row r="15" spans="1:22" x14ac:dyDescent="0.25">
      <c r="A15" s="4">
        <v>45216</v>
      </c>
      <c r="B15" t="s">
        <v>2</v>
      </c>
      <c r="C15" t="s">
        <v>11</v>
      </c>
      <c r="D15" t="s">
        <v>70</v>
      </c>
      <c r="E15" s="2">
        <v>1</v>
      </c>
      <c r="F15" s="5">
        <v>3800</v>
      </c>
    </row>
    <row r="16" spans="1:22" x14ac:dyDescent="0.25">
      <c r="A16" s="4">
        <v>45220</v>
      </c>
      <c r="B16" t="s">
        <v>2</v>
      </c>
      <c r="C16" t="s">
        <v>11</v>
      </c>
      <c r="D16" t="s">
        <v>70</v>
      </c>
      <c r="E16" s="2">
        <v>1</v>
      </c>
      <c r="F16" s="5">
        <v>5000</v>
      </c>
    </row>
    <row r="17" spans="1:6" x14ac:dyDescent="0.25">
      <c r="A17" s="4">
        <v>45220</v>
      </c>
      <c r="B17" t="s">
        <v>2</v>
      </c>
      <c r="C17" t="s">
        <v>11</v>
      </c>
      <c r="D17" t="s">
        <v>49</v>
      </c>
      <c r="E17" s="2">
        <v>1</v>
      </c>
      <c r="F17" s="5">
        <v>3500</v>
      </c>
    </row>
  </sheetData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C317E8-CBF5-4FAC-AD9B-CAB30A4E1887}">
          <x14:formula1>
            <xm:f>Parâmetros!$A$2:$A$3</xm:f>
          </x14:formula1>
          <xm:sqref>B6:B17</xm:sqref>
        </x14:dataValidation>
        <x14:dataValidation type="list" allowBlank="1" showInputMessage="1" showErrorMessage="1" xr:uid="{AD5F9424-3FB0-4833-B066-92D4D3C225CF}">
          <x14:formula1>
            <xm:f>'Cliente-Fornecedor'!$A$5:$A$25</xm:f>
          </x14:formula1>
          <xm:sqref>D6:D17</xm:sqref>
        </x14:dataValidation>
        <x14:dataValidation type="list" allowBlank="1" showInputMessage="1" showErrorMessage="1" xr:uid="{BC963E73-533C-481D-85E8-F9E356B341C5}">
          <x14:formula1>
            <xm:f>Produtos!$A$5:$A$24</xm:f>
          </x14:formula1>
          <xm:sqref>C6:C17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B674-E600-4669-912B-B7C30912ACAC}">
  <sheetPr>
    <tabColor theme="7" tint="0.59999389629810485"/>
  </sheetPr>
  <dimension ref="A1:M35"/>
  <sheetViews>
    <sheetView showGridLines="0" zoomScaleNormal="100" workbookViewId="0"/>
  </sheetViews>
  <sheetFormatPr defaultRowHeight="15" x14ac:dyDescent="0.25"/>
  <cols>
    <col min="1" max="1" width="12.5703125" bestFit="1" customWidth="1"/>
    <col min="2" max="2" width="28.140625" bestFit="1" customWidth="1"/>
    <col min="3" max="3" width="24.28515625" customWidth="1"/>
    <col min="4" max="4" width="22.28515625" customWidth="1"/>
    <col min="5" max="5" width="21" customWidth="1"/>
    <col min="6" max="6" width="34.42578125" bestFit="1" customWidth="1"/>
    <col min="7" max="7" width="22.140625" bestFit="1" customWidth="1"/>
  </cols>
  <sheetData>
    <row r="1" spans="1:13" ht="4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6.75" customHeight="1" x14ac:dyDescent="0.25"/>
    <row r="3" spans="1:13" ht="36" x14ac:dyDescent="0.55000000000000004">
      <c r="A3" s="13"/>
      <c r="B3" s="13"/>
      <c r="C3" s="13" t="s">
        <v>64</v>
      </c>
      <c r="D3" s="13"/>
      <c r="E3" s="13"/>
      <c r="F3" s="13"/>
      <c r="G3" s="13"/>
      <c r="H3" s="13"/>
      <c r="I3" s="13"/>
      <c r="J3" s="13"/>
      <c r="K3" s="13"/>
      <c r="L3" s="13"/>
      <c r="M3" s="13"/>
    </row>
    <row r="4" spans="1:13" ht="46.5" customHeight="1" x14ac:dyDescent="0.25"/>
    <row r="10" spans="1:13" x14ac:dyDescent="0.25">
      <c r="A10" s="8" t="s">
        <v>12</v>
      </c>
      <c r="B10" s="8" t="s">
        <v>41</v>
      </c>
      <c r="C10" s="8" t="s">
        <v>39</v>
      </c>
      <c r="D10" s="8" t="s">
        <v>40</v>
      </c>
      <c r="E10" s="8" t="s">
        <v>43</v>
      </c>
      <c r="F10" s="8" t="s">
        <v>17</v>
      </c>
      <c r="G10" s="8" t="s">
        <v>53</v>
      </c>
    </row>
    <row r="11" spans="1:13" x14ac:dyDescent="0.25">
      <c r="A11" s="4">
        <v>45213</v>
      </c>
      <c r="B11" t="s">
        <v>63</v>
      </c>
      <c r="C11" t="s">
        <v>31</v>
      </c>
      <c r="D11" t="s">
        <v>33</v>
      </c>
      <c r="E11" t="s">
        <v>49</v>
      </c>
      <c r="F11" t="s">
        <v>51</v>
      </c>
      <c r="G11" s="9">
        <v>2500</v>
      </c>
    </row>
    <row r="12" spans="1:13" x14ac:dyDescent="0.25">
      <c r="A12" s="4">
        <v>45213</v>
      </c>
      <c r="B12" t="s">
        <v>63</v>
      </c>
      <c r="C12" t="s">
        <v>65</v>
      </c>
      <c r="D12" t="s">
        <v>33</v>
      </c>
      <c r="E12" t="s">
        <v>68</v>
      </c>
      <c r="F12" t="s">
        <v>63</v>
      </c>
      <c r="G12" s="9">
        <v>500</v>
      </c>
    </row>
    <row r="13" spans="1:13" x14ac:dyDescent="0.25">
      <c r="A13" s="4">
        <v>45214</v>
      </c>
      <c r="B13" t="s">
        <v>20</v>
      </c>
      <c r="C13" t="s">
        <v>63</v>
      </c>
      <c r="D13" t="s">
        <v>33</v>
      </c>
      <c r="E13" t="s">
        <v>62</v>
      </c>
      <c r="F13" t="s">
        <v>22</v>
      </c>
      <c r="G13" s="9">
        <v>850</v>
      </c>
    </row>
    <row r="14" spans="1:13" x14ac:dyDescent="0.25">
      <c r="A14" s="4">
        <v>45214</v>
      </c>
      <c r="B14" t="s">
        <v>18</v>
      </c>
      <c r="C14" t="s">
        <v>63</v>
      </c>
      <c r="D14" t="s">
        <v>33</v>
      </c>
      <c r="E14" t="s">
        <v>54</v>
      </c>
      <c r="F14" t="s">
        <v>56</v>
      </c>
      <c r="G14" s="9">
        <v>10000</v>
      </c>
    </row>
    <row r="15" spans="1:13" x14ac:dyDescent="0.25">
      <c r="A15" s="4">
        <v>45214</v>
      </c>
      <c r="B15" t="s">
        <v>19</v>
      </c>
      <c r="C15" t="s">
        <v>63</v>
      </c>
      <c r="D15" t="s">
        <v>33</v>
      </c>
      <c r="E15" t="s">
        <v>70</v>
      </c>
      <c r="F15" t="s">
        <v>58</v>
      </c>
      <c r="G15" s="9">
        <v>1723</v>
      </c>
    </row>
    <row r="16" spans="1:13" x14ac:dyDescent="0.25">
      <c r="A16" s="4">
        <v>45214</v>
      </c>
      <c r="B16" t="s">
        <v>19</v>
      </c>
      <c r="C16" t="s">
        <v>63</v>
      </c>
      <c r="D16" t="s">
        <v>33</v>
      </c>
      <c r="E16" t="s">
        <v>59</v>
      </c>
      <c r="F16" t="s">
        <v>58</v>
      </c>
      <c r="G16" s="9">
        <v>940</v>
      </c>
    </row>
    <row r="17" spans="1:7" x14ac:dyDescent="0.25">
      <c r="A17" s="4">
        <v>45214</v>
      </c>
      <c r="B17" t="s">
        <v>19</v>
      </c>
      <c r="C17" t="s">
        <v>63</v>
      </c>
      <c r="D17" t="s">
        <v>33</v>
      </c>
      <c r="E17" t="s">
        <v>68</v>
      </c>
      <c r="F17" t="s">
        <v>58</v>
      </c>
      <c r="G17" s="9">
        <v>3000</v>
      </c>
    </row>
    <row r="18" spans="1:7" x14ac:dyDescent="0.25">
      <c r="A18" s="4">
        <v>45214</v>
      </c>
      <c r="B18" t="s">
        <v>63</v>
      </c>
      <c r="C18" t="s">
        <v>31</v>
      </c>
      <c r="D18" t="s">
        <v>36</v>
      </c>
      <c r="E18" t="s">
        <v>49</v>
      </c>
      <c r="F18" t="s">
        <v>63</v>
      </c>
      <c r="G18" s="9">
        <v>1600</v>
      </c>
    </row>
    <row r="19" spans="1:7" x14ac:dyDescent="0.25">
      <c r="A19" s="4">
        <v>45214</v>
      </c>
      <c r="B19" t="s">
        <v>63</v>
      </c>
      <c r="C19" t="s">
        <v>65</v>
      </c>
      <c r="D19" t="s">
        <v>34</v>
      </c>
      <c r="E19" t="s">
        <v>49</v>
      </c>
      <c r="F19" t="s">
        <v>52</v>
      </c>
      <c r="G19" s="9">
        <v>250</v>
      </c>
    </row>
    <row r="20" spans="1:7" x14ac:dyDescent="0.25">
      <c r="A20" s="4">
        <v>45214</v>
      </c>
      <c r="B20" t="s">
        <v>63</v>
      </c>
      <c r="C20" t="s">
        <v>38</v>
      </c>
      <c r="D20" t="s">
        <v>33</v>
      </c>
      <c r="E20" t="s">
        <v>49</v>
      </c>
      <c r="F20" t="s">
        <v>66</v>
      </c>
      <c r="G20" s="9">
        <v>150</v>
      </c>
    </row>
    <row r="21" spans="1:7" x14ac:dyDescent="0.25">
      <c r="A21" s="4">
        <v>45214</v>
      </c>
      <c r="B21" t="s">
        <v>21</v>
      </c>
      <c r="C21" t="s">
        <v>63</v>
      </c>
      <c r="D21" t="s">
        <v>33</v>
      </c>
      <c r="E21" t="s">
        <v>75</v>
      </c>
      <c r="F21" t="s">
        <v>76</v>
      </c>
      <c r="G21" s="9">
        <v>80</v>
      </c>
    </row>
    <row r="22" spans="1:7" x14ac:dyDescent="0.25">
      <c r="A22" s="4">
        <v>45214</v>
      </c>
      <c r="B22" t="s">
        <v>23</v>
      </c>
      <c r="C22" t="s">
        <v>63</v>
      </c>
      <c r="D22" t="s">
        <v>33</v>
      </c>
      <c r="E22" t="s">
        <v>77</v>
      </c>
      <c r="F22" t="s">
        <v>78</v>
      </c>
      <c r="G22" s="9">
        <v>300</v>
      </c>
    </row>
    <row r="23" spans="1:7" x14ac:dyDescent="0.25">
      <c r="A23" s="4">
        <v>45209</v>
      </c>
      <c r="B23" t="s">
        <v>63</v>
      </c>
      <c r="C23" t="s">
        <v>31</v>
      </c>
      <c r="D23" t="s">
        <v>36</v>
      </c>
      <c r="E23" t="s">
        <v>49</v>
      </c>
      <c r="F23" t="s">
        <v>63</v>
      </c>
      <c r="G23" s="9">
        <v>5000</v>
      </c>
    </row>
    <row r="24" spans="1:7" x14ac:dyDescent="0.25">
      <c r="A24" s="4">
        <v>45209</v>
      </c>
      <c r="B24" t="s">
        <v>27</v>
      </c>
      <c r="C24" t="s">
        <v>63</v>
      </c>
      <c r="D24" t="s">
        <v>33</v>
      </c>
      <c r="E24" t="s">
        <v>49</v>
      </c>
      <c r="F24" t="s">
        <v>27</v>
      </c>
      <c r="G24" s="9">
        <v>500</v>
      </c>
    </row>
    <row r="25" spans="1:7" x14ac:dyDescent="0.25">
      <c r="A25" s="4">
        <v>45208</v>
      </c>
      <c r="B25" t="s">
        <v>63</v>
      </c>
      <c r="C25" t="s">
        <v>38</v>
      </c>
      <c r="D25" t="s">
        <v>34</v>
      </c>
      <c r="E25" t="s">
        <v>49</v>
      </c>
      <c r="F25" t="s">
        <v>63</v>
      </c>
      <c r="G25" s="9">
        <v>15000</v>
      </c>
    </row>
    <row r="26" spans="1:7" x14ac:dyDescent="0.25">
      <c r="A26" s="4">
        <v>45210</v>
      </c>
      <c r="B26" t="s">
        <v>63</v>
      </c>
      <c r="C26" t="s">
        <v>31</v>
      </c>
      <c r="D26" t="s">
        <v>35</v>
      </c>
      <c r="E26" t="s">
        <v>68</v>
      </c>
      <c r="F26">
        <v>1</v>
      </c>
      <c r="G26" s="9">
        <v>3000</v>
      </c>
    </row>
    <row r="27" spans="1:7" x14ac:dyDescent="0.25">
      <c r="A27" s="4">
        <v>45210</v>
      </c>
      <c r="B27" t="s">
        <v>99</v>
      </c>
      <c r="C27" t="s">
        <v>63</v>
      </c>
      <c r="D27" t="s">
        <v>33</v>
      </c>
      <c r="E27" t="s">
        <v>60</v>
      </c>
      <c r="F27" t="s">
        <v>101</v>
      </c>
      <c r="G27" s="9">
        <v>400</v>
      </c>
    </row>
    <row r="28" spans="1:7" x14ac:dyDescent="0.25">
      <c r="A28" s="4">
        <v>45210</v>
      </c>
      <c r="B28" t="s">
        <v>100</v>
      </c>
      <c r="C28" t="s">
        <v>63</v>
      </c>
      <c r="D28" t="s">
        <v>33</v>
      </c>
      <c r="E28" t="s">
        <v>60</v>
      </c>
      <c r="F28" t="s">
        <v>102</v>
      </c>
      <c r="G28" s="9">
        <v>1000</v>
      </c>
    </row>
    <row r="29" spans="1:7" x14ac:dyDescent="0.25">
      <c r="A29" s="4">
        <v>45211</v>
      </c>
      <c r="B29" t="s">
        <v>63</v>
      </c>
      <c r="C29" t="s">
        <v>31</v>
      </c>
      <c r="D29" t="s">
        <v>34</v>
      </c>
      <c r="E29" t="s">
        <v>70</v>
      </c>
      <c r="F29">
        <v>1</v>
      </c>
      <c r="G29" s="9">
        <v>4200</v>
      </c>
    </row>
    <row r="30" spans="1:7" x14ac:dyDescent="0.25">
      <c r="A30" s="4">
        <v>45212</v>
      </c>
      <c r="B30" t="s">
        <v>63</v>
      </c>
      <c r="C30" t="s">
        <v>31</v>
      </c>
      <c r="D30" t="s">
        <v>37</v>
      </c>
      <c r="E30" t="s">
        <v>49</v>
      </c>
      <c r="F30" t="s">
        <v>63</v>
      </c>
      <c r="G30" s="9">
        <v>890</v>
      </c>
    </row>
    <row r="31" spans="1:7" x14ac:dyDescent="0.25">
      <c r="A31" s="4">
        <v>45215</v>
      </c>
      <c r="B31" t="s">
        <v>63</v>
      </c>
      <c r="C31" t="s">
        <v>31</v>
      </c>
      <c r="D31" t="s">
        <v>36</v>
      </c>
      <c r="E31" t="s">
        <v>54</v>
      </c>
      <c r="F31" t="s">
        <v>63</v>
      </c>
      <c r="G31" s="9">
        <v>2000</v>
      </c>
    </row>
    <row r="32" spans="1:7" x14ac:dyDescent="0.25">
      <c r="A32" s="4">
        <v>45216</v>
      </c>
      <c r="B32" t="s">
        <v>63</v>
      </c>
      <c r="C32" t="s">
        <v>65</v>
      </c>
      <c r="D32" t="s">
        <v>37</v>
      </c>
      <c r="E32" t="s">
        <v>59</v>
      </c>
      <c r="F32" t="s">
        <v>63</v>
      </c>
      <c r="G32" s="9">
        <v>1285</v>
      </c>
    </row>
    <row r="33" spans="1:7" x14ac:dyDescent="0.25">
      <c r="A33" s="4">
        <v>45220</v>
      </c>
      <c r="B33" t="s">
        <v>63</v>
      </c>
      <c r="C33" t="s">
        <v>31</v>
      </c>
      <c r="D33" t="s">
        <v>33</v>
      </c>
      <c r="E33" t="s">
        <v>70</v>
      </c>
      <c r="F33" t="s">
        <v>52</v>
      </c>
      <c r="G33" s="9">
        <v>500</v>
      </c>
    </row>
    <row r="34" spans="1:7" x14ac:dyDescent="0.25">
      <c r="A34" s="4">
        <v>45220</v>
      </c>
      <c r="B34" t="s">
        <v>63</v>
      </c>
      <c r="C34" t="s">
        <v>31</v>
      </c>
      <c r="D34" t="s">
        <v>37</v>
      </c>
      <c r="E34" t="s">
        <v>49</v>
      </c>
      <c r="F34" t="s">
        <v>119</v>
      </c>
      <c r="G34" s="9">
        <v>3500</v>
      </c>
    </row>
    <row r="35" spans="1:7" x14ac:dyDescent="0.25">
      <c r="A35" s="4">
        <v>45220</v>
      </c>
      <c r="B35" t="s">
        <v>23</v>
      </c>
      <c r="C35" t="s">
        <v>63</v>
      </c>
      <c r="D35" t="s">
        <v>33</v>
      </c>
      <c r="E35" t="s">
        <v>77</v>
      </c>
      <c r="F35" t="s">
        <v>118</v>
      </c>
      <c r="G35" s="9">
        <v>250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53CDF-4E28-4571-9359-5A03A14315A9}">
  <sheetPr>
    <tabColor theme="4" tint="0.59999389629810485"/>
  </sheetPr>
  <dimension ref="A1:M21"/>
  <sheetViews>
    <sheetView showGridLines="0" topLeftCell="A4" workbookViewId="0">
      <selection activeCell="E11" sqref="E11"/>
    </sheetView>
  </sheetViews>
  <sheetFormatPr defaultRowHeight="15" x14ac:dyDescent="0.25"/>
  <cols>
    <col min="1" max="1" width="24.5703125" bestFit="1" customWidth="1"/>
    <col min="2" max="2" width="19.7109375" bestFit="1" customWidth="1"/>
    <col min="3" max="3" width="18.85546875" bestFit="1" customWidth="1"/>
    <col min="4" max="5" width="21" bestFit="1" customWidth="1"/>
    <col min="6" max="6" width="15.140625" bestFit="1" customWidth="1"/>
    <col min="7" max="13" width="27.42578125" customWidth="1"/>
  </cols>
  <sheetData>
    <row r="1" spans="1:13" ht="46.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3" spans="1:13" ht="36" x14ac:dyDescent="0.55000000000000004">
      <c r="A3" s="13"/>
      <c r="B3" s="13"/>
      <c r="C3" s="13" t="s">
        <v>112</v>
      </c>
      <c r="D3" s="13"/>
      <c r="E3" s="13"/>
      <c r="F3" s="13"/>
      <c r="G3" s="13"/>
      <c r="H3" s="13"/>
      <c r="I3" s="13"/>
      <c r="J3" s="13"/>
      <c r="K3" s="13"/>
      <c r="L3" s="13"/>
      <c r="M3" s="13"/>
    </row>
    <row r="5" spans="1:13" ht="41.25" customHeight="1" x14ac:dyDescent="0.25"/>
    <row r="10" spans="1:13" x14ac:dyDescent="0.25">
      <c r="A10" s="38" t="s">
        <v>12</v>
      </c>
      <c r="B10" s="38" t="s">
        <v>0</v>
      </c>
      <c r="C10" s="38" t="s">
        <v>4</v>
      </c>
      <c r="D10" s="38" t="s">
        <v>43</v>
      </c>
      <c r="E10" s="38" t="s">
        <v>5</v>
      </c>
      <c r="F10" s="38" t="s">
        <v>13</v>
      </c>
    </row>
    <row r="11" spans="1:13" x14ac:dyDescent="0.25">
      <c r="A11" s="4">
        <v>45213</v>
      </c>
      <c r="B11" t="s">
        <v>1</v>
      </c>
      <c r="C11" t="s">
        <v>11</v>
      </c>
      <c r="D11" t="s">
        <v>54</v>
      </c>
      <c r="E11">
        <v>2</v>
      </c>
      <c r="F11" s="9">
        <v>2000</v>
      </c>
    </row>
    <row r="12" spans="1:13" x14ac:dyDescent="0.25">
      <c r="A12" s="4">
        <v>45214</v>
      </c>
      <c r="B12" t="s">
        <v>1</v>
      </c>
      <c r="C12" t="s">
        <v>11</v>
      </c>
      <c r="D12" t="s">
        <v>54</v>
      </c>
      <c r="E12">
        <v>10</v>
      </c>
      <c r="F12" s="9">
        <v>20000</v>
      </c>
    </row>
    <row r="13" spans="1:13" x14ac:dyDescent="0.25">
      <c r="A13" s="4">
        <v>45215</v>
      </c>
      <c r="B13" t="s">
        <v>1</v>
      </c>
      <c r="C13" t="s">
        <v>10</v>
      </c>
      <c r="D13" t="s">
        <v>62</v>
      </c>
      <c r="E13">
        <v>5</v>
      </c>
      <c r="F13" s="9">
        <v>25000</v>
      </c>
    </row>
    <row r="14" spans="1:13" x14ac:dyDescent="0.25">
      <c r="A14" s="4">
        <v>45215</v>
      </c>
      <c r="B14" t="s">
        <v>1</v>
      </c>
      <c r="C14" t="s">
        <v>11</v>
      </c>
      <c r="D14" t="s">
        <v>54</v>
      </c>
      <c r="E14">
        <v>1</v>
      </c>
      <c r="F14" s="9">
        <v>2000</v>
      </c>
    </row>
    <row r="15" spans="1:13" x14ac:dyDescent="0.25">
      <c r="A15" s="4">
        <v>45215</v>
      </c>
      <c r="B15" t="s">
        <v>2</v>
      </c>
      <c r="C15" t="s">
        <v>10</v>
      </c>
      <c r="D15" t="s">
        <v>49</v>
      </c>
      <c r="E15">
        <v>1</v>
      </c>
      <c r="F15" s="9">
        <v>4500</v>
      </c>
    </row>
    <row r="16" spans="1:13" x14ac:dyDescent="0.25">
      <c r="A16" s="4">
        <v>45215</v>
      </c>
      <c r="B16" t="s">
        <v>2</v>
      </c>
      <c r="C16" t="s">
        <v>11</v>
      </c>
      <c r="D16" t="s">
        <v>68</v>
      </c>
      <c r="E16">
        <v>1</v>
      </c>
      <c r="F16" s="9">
        <v>3200</v>
      </c>
    </row>
    <row r="17" spans="1:6" x14ac:dyDescent="0.25">
      <c r="A17" s="4">
        <v>45215</v>
      </c>
      <c r="B17" t="s">
        <v>2</v>
      </c>
      <c r="C17" t="s">
        <v>11</v>
      </c>
      <c r="D17" t="s">
        <v>49</v>
      </c>
      <c r="E17">
        <v>1</v>
      </c>
      <c r="F17" s="9">
        <v>3500</v>
      </c>
    </row>
    <row r="18" spans="1:6" x14ac:dyDescent="0.25">
      <c r="A18" s="4">
        <v>45216</v>
      </c>
      <c r="B18" t="s">
        <v>2</v>
      </c>
      <c r="C18" t="s">
        <v>11</v>
      </c>
      <c r="D18" t="s">
        <v>70</v>
      </c>
      <c r="E18">
        <v>1</v>
      </c>
      <c r="F18" s="9">
        <v>3800</v>
      </c>
    </row>
    <row r="19" spans="1:6" x14ac:dyDescent="0.25">
      <c r="A19" s="4">
        <v>45170</v>
      </c>
      <c r="B19" t="s">
        <v>2</v>
      </c>
      <c r="C19" t="s">
        <v>11</v>
      </c>
      <c r="D19" t="s">
        <v>54</v>
      </c>
      <c r="E19">
        <v>6</v>
      </c>
      <c r="F19" s="9">
        <v>12000</v>
      </c>
    </row>
    <row r="20" spans="1:6" x14ac:dyDescent="0.25">
      <c r="A20" s="4">
        <v>45220</v>
      </c>
      <c r="B20" t="s">
        <v>2</v>
      </c>
      <c r="C20" t="s">
        <v>11</v>
      </c>
      <c r="D20" t="s">
        <v>70</v>
      </c>
      <c r="E20">
        <v>1</v>
      </c>
      <c r="F20" s="9">
        <v>5000</v>
      </c>
    </row>
    <row r="21" spans="1:6" x14ac:dyDescent="0.25">
      <c r="A21" s="4">
        <v>45220</v>
      </c>
      <c r="B21" t="s">
        <v>2</v>
      </c>
      <c r="C21" t="s">
        <v>11</v>
      </c>
      <c r="D21" t="s">
        <v>49</v>
      </c>
      <c r="E21">
        <v>1</v>
      </c>
      <c r="F21" s="9">
        <v>3500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D5B7-4119-4997-9486-A6AC1156BD30}">
  <sheetPr>
    <tabColor theme="9" tint="0.59999389629810485"/>
  </sheetPr>
  <dimension ref="A1:P40"/>
  <sheetViews>
    <sheetView showGridLines="0" zoomScaleNormal="100" workbookViewId="0"/>
  </sheetViews>
  <sheetFormatPr defaultRowHeight="15" x14ac:dyDescent="0.25"/>
  <cols>
    <col min="1" max="1" width="22.140625" customWidth="1"/>
    <col min="2" max="2" width="17.85546875" bestFit="1" customWidth="1"/>
    <col min="3" max="3" width="13.42578125" bestFit="1" customWidth="1"/>
    <col min="4" max="4" width="14.28515625" bestFit="1" customWidth="1"/>
    <col min="5" max="5" width="12.140625" bestFit="1" customWidth="1"/>
    <col min="6" max="6" width="16" bestFit="1" customWidth="1"/>
    <col min="7" max="7" width="13.28515625" bestFit="1" customWidth="1"/>
    <col min="8" max="8" width="15.42578125" bestFit="1" customWidth="1"/>
    <col min="9" max="9" width="20" bestFit="1" customWidth="1"/>
    <col min="10" max="10" width="7.7109375" customWidth="1"/>
    <col min="11" max="11" width="13" customWidth="1"/>
    <col min="12" max="12" width="7.7109375" customWidth="1"/>
    <col min="13" max="13" width="13.28515625" bestFit="1" customWidth="1"/>
    <col min="14" max="14" width="13.42578125" bestFit="1" customWidth="1"/>
    <col min="15" max="15" width="14" bestFit="1" customWidth="1"/>
  </cols>
  <sheetData>
    <row r="1" spans="1:16" ht="45.7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ht="7.5" customHeight="1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41.25" customHeight="1" x14ac:dyDescent="0.55000000000000004">
      <c r="A3" s="13"/>
      <c r="B3" s="13"/>
      <c r="C3" s="13"/>
      <c r="D3" s="13"/>
      <c r="E3" s="13" t="s">
        <v>110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1:16" ht="121.5" customHeight="1" x14ac:dyDescent="0.25"/>
    <row r="5" spans="1:16" ht="30" customHeight="1" x14ac:dyDescent="0.55000000000000004">
      <c r="A5" s="13" t="s">
        <v>109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</row>
    <row r="6" spans="1:16" ht="42.75" customHeight="1" x14ac:dyDescent="0.25">
      <c r="A6" s="30" t="s">
        <v>106</v>
      </c>
      <c r="B6" s="41">
        <f>1/(1-(F6))</f>
        <v>3.3561928512053205</v>
      </c>
      <c r="C6" s="26"/>
      <c r="D6" s="42" t="s">
        <v>97</v>
      </c>
      <c r="E6" s="42"/>
      <c r="F6" s="43">
        <f>(M18-(N10+K10+H9))/M18</f>
        <v>0.70204334365325083</v>
      </c>
      <c r="G6" s="43"/>
      <c r="H6" s="28" t="s">
        <v>105</v>
      </c>
      <c r="I6" s="31">
        <f>IFERROR((B9+E9)/(1-(H9+K10)/C17),)</f>
        <v>7384.271091406963</v>
      </c>
      <c r="K6" s="28" t="s">
        <v>107</v>
      </c>
      <c r="L6" s="27">
        <f>Parâmetros!N2</f>
        <v>0.6</v>
      </c>
      <c r="M6" s="37"/>
    </row>
    <row r="7" spans="1:16" ht="23.25" customHeight="1" x14ac:dyDescent="0.25">
      <c r="A7" s="36"/>
      <c r="B7" s="40"/>
      <c r="C7" s="26"/>
      <c r="D7" s="42"/>
      <c r="E7" s="42"/>
      <c r="F7" s="28"/>
      <c r="G7" s="27"/>
      <c r="H7" s="27"/>
    </row>
    <row r="8" spans="1:16" ht="40.5" customHeight="1" x14ac:dyDescent="0.25">
      <c r="A8" s="29" t="s">
        <v>104</v>
      </c>
      <c r="B8" s="32">
        <f>IFERROR(B9/C17,)</f>
        <v>0.14026006191950463</v>
      </c>
      <c r="C8" s="33"/>
      <c r="D8" s="33"/>
      <c r="E8" s="32">
        <f>IFERROR(E9/C17,)</f>
        <v>3.3436532507739938E-2</v>
      </c>
      <c r="F8" s="33"/>
      <c r="G8" s="33"/>
      <c r="H8" s="32">
        <f>IFERROR(H9/C17,)</f>
        <v>5.0278637770897833E-2</v>
      </c>
      <c r="I8" s="33"/>
      <c r="J8" s="33"/>
      <c r="K8" s="32">
        <f>IFERROR(K10/C17,)</f>
        <v>0</v>
      </c>
      <c r="L8" s="33"/>
      <c r="M8" s="33"/>
      <c r="N8" s="32">
        <f>IFERROR(N10/C17,)</f>
        <v>0.24767801857585139</v>
      </c>
    </row>
    <row r="9" spans="1:16" s="11" customFormat="1" ht="15.75" thickBot="1" x14ac:dyDescent="0.3">
      <c r="A9" s="16" t="s">
        <v>19</v>
      </c>
      <c r="B9" s="18">
        <f>SUM(B10:B12)</f>
        <v>5663</v>
      </c>
      <c r="D9" s="14" t="s">
        <v>67</v>
      </c>
      <c r="E9" s="18">
        <f>SUM(E10:E14)</f>
        <v>1350</v>
      </c>
      <c r="G9" s="14" t="s">
        <v>79</v>
      </c>
      <c r="H9" s="18">
        <f>SUM(H10:H16)</f>
        <v>2030</v>
      </c>
      <c r="J9" s="14" t="s">
        <v>26</v>
      </c>
      <c r="K9" s="14"/>
      <c r="M9" s="14" t="s">
        <v>18</v>
      </c>
      <c r="N9" s="14"/>
    </row>
    <row r="10" spans="1:16" ht="15.75" thickTop="1" x14ac:dyDescent="0.25">
      <c r="A10" t="str">
        <f>Parâmetros!L2</f>
        <v>Nayara</v>
      </c>
      <c r="B10" s="5">
        <f>SUMIFS(MovimentoCaixa!G:G,MovimentoCaixa!B:B,Dashboard!A9,MovimentoCaixa!E:E,Dashboard!$A$10)</f>
        <v>3000</v>
      </c>
      <c r="C10" s="34">
        <f>B10/$C$17</f>
        <v>7.4303405572755415E-2</v>
      </c>
      <c r="D10" t="s">
        <v>20</v>
      </c>
      <c r="E10" s="5">
        <f>SUMIF(MovimentoCaixa!B:B,Dashboard!D10,MovimentoCaixa!G:G)</f>
        <v>850</v>
      </c>
      <c r="F10" s="34">
        <f>E10/$C$17</f>
        <v>2.1052631578947368E-2</v>
      </c>
      <c r="G10" t="s">
        <v>21</v>
      </c>
      <c r="H10" s="5">
        <f>SUMIF(MovimentoCaixa!B:B,Dashboard!G10,MovimentoCaixa!G:G)</f>
        <v>80</v>
      </c>
      <c r="I10" s="34">
        <f>H10/$C$17</f>
        <v>1.9814241486068112E-3</v>
      </c>
      <c r="J10" t="s">
        <v>71</v>
      </c>
      <c r="K10" s="5">
        <f>SUMIF(MovimentoCaixa!B:B,Dashboard!J9,MovimentoCaixa!G:G)</f>
        <v>0</v>
      </c>
      <c r="M10" t="s">
        <v>71</v>
      </c>
      <c r="N10" s="5">
        <f>SUMIF(MovimentoCaixa!B:B,Dashboard!M9,MovimentoCaixa!G:G)</f>
        <v>10000</v>
      </c>
    </row>
    <row r="11" spans="1:16" x14ac:dyDescent="0.25">
      <c r="A11" t="s">
        <v>70</v>
      </c>
      <c r="B11" s="5">
        <f>SUMIFS(MovimentoCaixa!G:G,MovimentoCaixa!B:B,Dashboard!$A$9,MovimentoCaixa!E:E,Dashboard!A11)</f>
        <v>1723</v>
      </c>
      <c r="C11" s="34">
        <f t="shared" ref="C11:C12" si="0">B11/$C$17</f>
        <v>4.2674922600619197E-2</v>
      </c>
      <c r="D11" t="s">
        <v>27</v>
      </c>
      <c r="E11" s="5">
        <f>SUMIF(MovimentoCaixa!B:B,Dashboard!D11,MovimentoCaixa!G:G)</f>
        <v>500</v>
      </c>
      <c r="F11" s="34">
        <f t="shared" ref="F11:F14" si="1">E11/$C$17</f>
        <v>1.238390092879257E-2</v>
      </c>
      <c r="G11" t="s">
        <v>23</v>
      </c>
      <c r="H11" s="5">
        <f>SUMIF(MovimentoCaixa!B:B,Dashboard!G11,MovimentoCaixa!G:G)</f>
        <v>550</v>
      </c>
      <c r="I11" s="34">
        <f t="shared" ref="I11:I14" si="2">H11/$C$17</f>
        <v>1.3622291021671827E-2</v>
      </c>
    </row>
    <row r="12" spans="1:16" x14ac:dyDescent="0.25">
      <c r="A12" t="s">
        <v>59</v>
      </c>
      <c r="B12" s="5">
        <f>SUMIFS(MovimentoCaixa!G:G,MovimentoCaixa!B:B,Dashboard!$A$9,MovimentoCaixa!E:E,Dashboard!A12)</f>
        <v>940</v>
      </c>
      <c r="C12" s="34">
        <f t="shared" si="0"/>
        <v>2.3281733746130032E-2</v>
      </c>
      <c r="D12" t="s">
        <v>28</v>
      </c>
      <c r="E12" s="5">
        <f>SUMIF(MovimentoCaixa!B:B,Dashboard!D12,MovimentoCaixa!G:G)</f>
        <v>0</v>
      </c>
      <c r="F12" s="34">
        <f t="shared" si="1"/>
        <v>0</v>
      </c>
      <c r="G12" t="s">
        <v>24</v>
      </c>
      <c r="H12" s="5">
        <f>SUMIF(MovimentoCaixa!B:B,Dashboard!G12,MovimentoCaixa!G:G)</f>
        <v>0</v>
      </c>
      <c r="I12" s="34">
        <f t="shared" si="2"/>
        <v>0</v>
      </c>
    </row>
    <row r="13" spans="1:16" x14ac:dyDescent="0.25">
      <c r="D13" t="s">
        <v>72</v>
      </c>
      <c r="E13" s="5">
        <f>SUMIF(MovimentoCaixa!B:B,Dashboard!D13,MovimentoCaixa!G:G)</f>
        <v>0</v>
      </c>
      <c r="F13" s="34">
        <f t="shared" si="1"/>
        <v>0</v>
      </c>
      <c r="G13" t="s">
        <v>99</v>
      </c>
      <c r="H13" s="5">
        <f>SUMIF(MovimentoCaixa!B:B,Dashboard!G13,MovimentoCaixa!G:G)</f>
        <v>400</v>
      </c>
      <c r="I13" s="34">
        <f t="shared" si="2"/>
        <v>9.9071207430340563E-3</v>
      </c>
    </row>
    <row r="14" spans="1:16" x14ac:dyDescent="0.25">
      <c r="A14" s="25"/>
      <c r="B14" s="25"/>
      <c r="D14" t="s">
        <v>22</v>
      </c>
      <c r="E14" s="5">
        <f>SUMIF(MovimentoCaixa!B:B,Dashboard!#REF!,MovimentoCaixa!G:G)</f>
        <v>0</v>
      </c>
      <c r="F14" s="34">
        <f t="shared" si="1"/>
        <v>0</v>
      </c>
      <c r="G14" t="s">
        <v>100</v>
      </c>
      <c r="H14" s="5">
        <f>SUMIF(MovimentoCaixa!B:B,Dashboard!G14,MovimentoCaixa!G:G)</f>
        <v>1000</v>
      </c>
      <c r="I14" s="34">
        <f t="shared" si="2"/>
        <v>2.4767801857585141E-2</v>
      </c>
    </row>
    <row r="15" spans="1:16" x14ac:dyDescent="0.25">
      <c r="F15" s="34"/>
    </row>
    <row r="16" spans="1:16" x14ac:dyDescent="0.25">
      <c r="D16" s="15"/>
      <c r="G16" s="11"/>
    </row>
    <row r="17" spans="1:14" ht="15.75" thickBot="1" x14ac:dyDescent="0.3">
      <c r="A17" s="16" t="s">
        <v>96</v>
      </c>
      <c r="B17" s="14"/>
      <c r="C17" s="21">
        <f>SUM(C18:C20)</f>
        <v>40375</v>
      </c>
      <c r="D17" s="11"/>
      <c r="E17" s="16" t="s">
        <v>0</v>
      </c>
      <c r="F17" s="21">
        <f>SUM(F18:F22)</f>
        <v>40375</v>
      </c>
      <c r="H17" s="14" t="s">
        <v>98</v>
      </c>
      <c r="I17" s="20">
        <f>SUM(I18:I22)</f>
        <v>19043</v>
      </c>
      <c r="K17" s="14" t="s">
        <v>80</v>
      </c>
      <c r="L17" s="14"/>
      <c r="M17" s="17">
        <f>M18-(M19+M20)</f>
        <v>11332</v>
      </c>
    </row>
    <row r="18" spans="1:14" ht="15.75" thickTop="1" x14ac:dyDescent="0.25">
      <c r="A18" t="s">
        <v>31</v>
      </c>
      <c r="C18" s="5">
        <f>SUMIF(MovimentoCaixa!C:C,Dashboard!A18,MovimentoCaixa!G:G)</f>
        <v>23190</v>
      </c>
      <c r="E18" t="s">
        <v>33</v>
      </c>
      <c r="F18" s="5">
        <f>SUMIFS(MovimentoCaixa!G:G,MovimentoCaixa!B:B,$A$21,MovimentoCaixa!D:D,Dashboard!E18)</f>
        <v>3650</v>
      </c>
      <c r="H18" t="s">
        <v>19</v>
      </c>
      <c r="I18" s="5">
        <f>B9</f>
        <v>5663</v>
      </c>
      <c r="K18" t="s">
        <v>103</v>
      </c>
      <c r="M18" s="9">
        <f>C17</f>
        <v>40375</v>
      </c>
    </row>
    <row r="19" spans="1:14" x14ac:dyDescent="0.25">
      <c r="A19" t="s">
        <v>65</v>
      </c>
      <c r="C19" s="5">
        <f>SUMIF(MovimentoCaixa!C:C,Dashboard!A19,MovimentoCaixa!G:G)</f>
        <v>2035</v>
      </c>
      <c r="E19" t="s">
        <v>34</v>
      </c>
      <c r="F19" s="5">
        <f>SUMIFS(MovimentoCaixa!G:G,MovimentoCaixa!B:B,$A$21,MovimentoCaixa!D:D,Dashboard!E19)</f>
        <v>19450</v>
      </c>
      <c r="H19" t="s">
        <v>81</v>
      </c>
      <c r="I19" s="5">
        <f>E9</f>
        <v>1350</v>
      </c>
      <c r="K19" t="s">
        <v>86</v>
      </c>
      <c r="M19" s="9">
        <f>I17</f>
        <v>19043</v>
      </c>
    </row>
    <row r="20" spans="1:14" x14ac:dyDescent="0.25">
      <c r="A20" t="s">
        <v>38</v>
      </c>
      <c r="C20" s="5">
        <f>SUMIF(MovimentoCaixa!C:C,Dashboard!A20,MovimentoCaixa!G:G)</f>
        <v>15150</v>
      </c>
      <c r="E20" t="s">
        <v>35</v>
      </c>
      <c r="F20" s="5">
        <f>SUMIFS(MovimentoCaixa!G:G,MovimentoCaixa!B:B,$A$21,MovimentoCaixa!D:D,Dashboard!E20)</f>
        <v>3000</v>
      </c>
      <c r="H20" t="s">
        <v>82</v>
      </c>
      <c r="I20" s="5">
        <f>H9</f>
        <v>2030</v>
      </c>
      <c r="K20" t="s">
        <v>84</v>
      </c>
      <c r="M20" s="9">
        <f>N10</f>
        <v>10000</v>
      </c>
    </row>
    <row r="21" spans="1:14" x14ac:dyDescent="0.25">
      <c r="A21" s="19" t="s">
        <v>63</v>
      </c>
      <c r="E21" t="s">
        <v>36</v>
      </c>
      <c r="F21" s="5">
        <f>SUMIFS(MovimentoCaixa!G:G,MovimentoCaixa!B:B,$A$21,MovimentoCaixa!D:D,Dashboard!E21)</f>
        <v>8600</v>
      </c>
      <c r="H21" t="s">
        <v>83</v>
      </c>
      <c r="I21" s="9">
        <f>K10</f>
        <v>0</v>
      </c>
      <c r="J21" s="5"/>
      <c r="K21" t="s">
        <v>108</v>
      </c>
      <c r="M21" s="23">
        <f>M17/M18</f>
        <v>0.2806687306501548</v>
      </c>
      <c r="N21" s="5"/>
    </row>
    <row r="22" spans="1:14" x14ac:dyDescent="0.25">
      <c r="E22" t="s">
        <v>37</v>
      </c>
      <c r="F22" s="5">
        <f>SUMIFS(MovimentoCaixa!G:G,MovimentoCaixa!B:B,$A$21,MovimentoCaixa!D:D,Dashboard!E22)</f>
        <v>5675</v>
      </c>
      <c r="H22" t="s">
        <v>84</v>
      </c>
      <c r="I22" s="9">
        <f>N10</f>
        <v>10000</v>
      </c>
      <c r="J22" s="5"/>
      <c r="N22" s="5"/>
    </row>
    <row r="23" spans="1:14" x14ac:dyDescent="0.25">
      <c r="F23" s="5"/>
      <c r="I23" s="9"/>
      <c r="J23" s="5"/>
      <c r="N23" s="5"/>
    </row>
    <row r="24" spans="1:14" x14ac:dyDescent="0.25">
      <c r="F24" s="5"/>
      <c r="I24" s="9"/>
      <c r="J24" s="5"/>
      <c r="N24" s="5"/>
    </row>
    <row r="25" spans="1:14" ht="30" customHeight="1" x14ac:dyDescent="0.55000000000000004">
      <c r="A25" s="13" t="s">
        <v>111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25">
      <c r="J26" s="5"/>
    </row>
    <row r="34" spans="1:14" ht="15.75" thickBot="1" x14ac:dyDescent="0.3">
      <c r="A34" s="16" t="s">
        <v>93</v>
      </c>
      <c r="B34" s="12"/>
      <c r="F34" s="16" t="s">
        <v>116</v>
      </c>
      <c r="G34" s="12"/>
      <c r="H34" s="12"/>
      <c r="J34" s="16" t="s">
        <v>117</v>
      </c>
      <c r="K34" s="12"/>
      <c r="L34" s="12"/>
      <c r="M34" s="12"/>
      <c r="N34" s="12"/>
    </row>
    <row r="35" spans="1:14" ht="15.75" thickTop="1" x14ac:dyDescent="0.25">
      <c r="B35" s="5">
        <f>SUM(Estoque!H:H)</f>
        <v>21846.153846153848</v>
      </c>
    </row>
    <row r="38" spans="1:14" ht="15.75" thickBot="1" x14ac:dyDescent="0.3">
      <c r="A38" s="16" t="s">
        <v>3</v>
      </c>
      <c r="B38" s="16" t="s">
        <v>85</v>
      </c>
      <c r="C38" s="16" t="s">
        <v>113</v>
      </c>
      <c r="D38" s="16" t="s">
        <v>115</v>
      </c>
      <c r="E38" s="16" t="s">
        <v>114</v>
      </c>
    </row>
    <row r="39" spans="1:14" ht="15.75" thickTop="1" x14ac:dyDescent="0.25">
      <c r="A39" t="str">
        <f>Produtos!A6</f>
        <v>Samsung Galaxy S22</v>
      </c>
      <c r="B39" s="5">
        <f>SUMIFS(MovimentoEstoque!F:F,MovimentoEstoque!C:C,Dashboard!A39,MovimentoEstoque!B:B,Parâmetros!$A$3)</f>
        <v>31000</v>
      </c>
      <c r="C39" s="39">
        <f>SUMIFS(MovimentoEstoque!E:E,MovimentoEstoque!C:C,Dashboard!A39,MovimentoEstoque!B:B,Parâmetros!$A$3)</f>
        <v>11</v>
      </c>
      <c r="D39" s="39">
        <f>SUMIFS(MovimentoEstoque!E:E,MovimentoEstoque!C:C,Dashboard!A39,MovimentoEstoque!B:B,Parâmetros!$A$2)</f>
        <v>13</v>
      </c>
      <c r="E39" s="2">
        <f>SUMIF(Estoque!$A:$A,Dashboard!A39,Estoque!$E:$E)</f>
        <v>1</v>
      </c>
    </row>
    <row r="40" spans="1:14" x14ac:dyDescent="0.25">
      <c r="A40" t="str">
        <f>Produtos!A7</f>
        <v>iphone 14s</v>
      </c>
      <c r="B40" s="5">
        <f>SUMIFS(MovimentoEstoque!F:F,MovimentoEstoque!C:C,Dashboard!A40,MovimentoEstoque!B:B,Parâmetros!$A$3)</f>
        <v>4500</v>
      </c>
      <c r="C40" s="39">
        <f>SUMIFS(MovimentoEstoque!E:E,MovimentoEstoque!C:C,Dashboard!A40,MovimentoEstoque!B:B,Parâmetros!$A$3)</f>
        <v>1</v>
      </c>
      <c r="D40" s="39">
        <f>SUMIFS(MovimentoEstoque!E:E,MovimentoEstoque!C:C,Dashboard!A40,MovimentoEstoque!B:B,Parâmetros!$A$2)</f>
        <v>5</v>
      </c>
      <c r="E40" s="2">
        <f>SUMIF(Estoque!$A:$A,Dashboard!A40,Estoque!$E:$E)</f>
        <v>4</v>
      </c>
    </row>
  </sheetData>
  <mergeCells count="3">
    <mergeCell ref="D7:E7"/>
    <mergeCell ref="F6:G6"/>
    <mergeCell ref="D6:E6"/>
  </mergeCells>
  <conditionalFormatting sqref="B10:B1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{0C2E7291-9010-4A70-94E7-EC757CB92584}</x14:id>
        </ext>
      </extLst>
    </cfRule>
  </conditionalFormatting>
  <conditionalFormatting sqref="E10:E14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{C2D918DC-3C07-47F8-AA8A-6080F37ECD4B}</x14:id>
        </ext>
      </extLst>
    </cfRule>
  </conditionalFormatting>
  <conditionalFormatting sqref="H10:H17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{679F8FD2-EEBF-4F2C-AD37-305BC535815F}</x14:id>
        </ext>
      </extLst>
    </cfRule>
  </conditionalFormatting>
  <conditionalFormatting sqref="C18:C2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{91F47F92-ED1D-4A9F-BD24-1AA09E396EC7}</x14:id>
        </ext>
      </extLst>
    </cfRule>
  </conditionalFormatting>
  <conditionalFormatting sqref="F18:F2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{EF7AF41C-64BF-417B-B4E5-55B90ACF6570}</x14:id>
        </ext>
      </extLst>
    </cfRule>
  </conditionalFormatting>
  <conditionalFormatting sqref="I18:I24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{39FAF78C-1473-414C-9FB9-CC13C9A2D81F}</x14:id>
        </ext>
      </extLst>
    </cfRule>
  </conditionalFormatting>
  <conditionalFormatting sqref="M17">
    <cfRule type="cellIs" dxfId="15" priority="2" operator="lessThan">
      <formula>0</formula>
    </cfRule>
    <cfRule type="cellIs" dxfId="14" priority="3" operator="greaterThan">
      <formula>0</formula>
    </cfRule>
  </conditionalFormatting>
  <conditionalFormatting sqref="M21">
    <cfRule type="iconSet" priority="1">
      <iconSet iconSet="3Symbols2">
        <cfvo type="percent" val="0"/>
        <cfvo type="num" val="20"/>
        <cfvo type="num" val="45"/>
      </iconSe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2E7291-9010-4A70-94E7-EC757CB925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B10:B12</xm:sqref>
        </x14:conditionalFormatting>
        <x14:conditionalFormatting xmlns:xm="http://schemas.microsoft.com/office/excel/2006/main">
          <x14:cfRule type="dataBar" id="{C2D918DC-3C07-47F8-AA8A-6080F37ECD4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E10:E14</xm:sqref>
        </x14:conditionalFormatting>
        <x14:conditionalFormatting xmlns:xm="http://schemas.microsoft.com/office/excel/2006/main">
          <x14:cfRule type="dataBar" id="{679F8FD2-EEBF-4F2C-AD37-305BC53581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H10:H17</xm:sqref>
        </x14:conditionalFormatting>
        <x14:conditionalFormatting xmlns:xm="http://schemas.microsoft.com/office/excel/2006/main">
          <x14:cfRule type="dataBar" id="{91F47F92-ED1D-4A9F-BD24-1AA09E396E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C18:C20</xm:sqref>
        </x14:conditionalFormatting>
        <x14:conditionalFormatting xmlns:xm="http://schemas.microsoft.com/office/excel/2006/main">
          <x14:cfRule type="dataBar" id="{EF7AF41C-64BF-417B-B4E5-55B90ACF65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F18:F24</xm:sqref>
        </x14:conditionalFormatting>
        <x14:conditionalFormatting xmlns:xm="http://schemas.microsoft.com/office/excel/2006/main">
          <x14:cfRule type="dataBar" id="{39FAF78C-1473-414C-9FB9-CC13C9A2D81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I18:I24</xm:sqref>
        </x14:conditionalFormatting>
      </x14:conditionalFormattings>
    </ex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1EFD-1F4A-4E1D-A32E-BE983B1B193E}">
  <sheetPr>
    <tabColor theme="1"/>
  </sheetPr>
  <dimension ref="A1:L7"/>
  <sheetViews>
    <sheetView showGridLines="0" zoomScale="160" zoomScaleNormal="160" workbookViewId="0"/>
  </sheetViews>
  <sheetFormatPr defaultRowHeight="15" x14ac:dyDescent="0.25"/>
  <cols>
    <col min="1" max="1" width="18.85546875" bestFit="1" customWidth="1"/>
    <col min="2" max="2" width="19.85546875" bestFit="1" customWidth="1"/>
    <col min="3" max="3" width="14.140625" bestFit="1" customWidth="1"/>
    <col min="4" max="4" width="11.7109375" bestFit="1" customWidth="1"/>
    <col min="5" max="5" width="19.42578125" bestFit="1" customWidth="1"/>
    <col min="6" max="6" width="35" bestFit="1" customWidth="1"/>
    <col min="7" max="7" width="33.42578125" bestFit="1" customWidth="1"/>
    <col min="8" max="8" width="20.7109375" customWidth="1"/>
    <col min="9" max="9" width="12.140625" bestFit="1" customWidth="1"/>
  </cols>
  <sheetData>
    <row r="1" spans="1:12" ht="45.7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2" ht="6.75" customHeight="1" x14ac:dyDescent="0.25"/>
    <row r="3" spans="1:12" ht="38.25" customHeight="1" x14ac:dyDescent="0.55000000000000004">
      <c r="A3" s="13"/>
      <c r="B3" s="13"/>
      <c r="C3" s="13" t="s">
        <v>16</v>
      </c>
      <c r="D3" s="13"/>
      <c r="E3" s="13"/>
      <c r="F3" s="13"/>
      <c r="G3" s="13"/>
      <c r="H3" s="13"/>
    </row>
    <row r="4" spans="1:12" ht="8.25" customHeight="1" x14ac:dyDescent="0.25"/>
    <row r="5" spans="1:12" ht="20.25" customHeight="1" x14ac:dyDescent="0.25">
      <c r="A5" s="3" t="s">
        <v>4</v>
      </c>
      <c r="B5" s="3" t="s">
        <v>6</v>
      </c>
      <c r="C5" s="3" t="s">
        <v>7</v>
      </c>
      <c r="D5" s="3" t="s">
        <v>8</v>
      </c>
      <c r="E5" s="3" t="s">
        <v>9</v>
      </c>
      <c r="F5" s="3" t="s">
        <v>14</v>
      </c>
      <c r="G5" s="3" t="s">
        <v>15</v>
      </c>
      <c r="H5" s="3" t="s">
        <v>94</v>
      </c>
    </row>
    <row r="6" spans="1:12" x14ac:dyDescent="0.25">
      <c r="A6" t="s">
        <v>11</v>
      </c>
      <c r="B6" s="2">
        <v>0</v>
      </c>
      <c r="C6" s="2">
        <f>SUMIFS('Movimentação EntradaSaída'!E:E,'Movimentação EntradaSaída'!B:B,Parâmetros!$A$2,'Movimentação EntradaSaída'!C:C,Tabela2[[#This Row],[Produto]])</f>
        <v>13</v>
      </c>
      <c r="D6" s="2">
        <f>SUMIFS('Movimentação EntradaSaída'!E:E,'Movimentação EntradaSaída'!B:B,Parâmetros!$A$3,'Movimentação EntradaSaída'!C:C,Tabela2[[#This Row],[Produto]])</f>
        <v>12</v>
      </c>
      <c r="E6" s="2">
        <f>Tabela2[[#This Row],[Entradas]]-Tabela2[[#This Row],[Saídas]]+Tabela2[[#This Row],[Estoque Inicial]]</f>
        <v>1</v>
      </c>
      <c r="F6" s="6">
        <f>IFERROR(SUMIFS('Movimentação EntradaSaída'!F:F,'Movimentação EntradaSaída'!B:B,Parâmetros!$A$2,'Movimentação EntradaSaída'!C:C,Tabela2[[#This Row],[Produto]])/Tabela2[[#This Row],[Entradas]],)</f>
        <v>1846.1538461538462</v>
      </c>
      <c r="G6" s="6">
        <f>IFERROR(SUMIFS('Movimentação EntradaSaída'!F:F,'Movimentação EntradaSaída'!B:B,Parâmetros!$A$3,'Movimentação EntradaSaída'!C:C,Tabela2[[#This Row],[Produto]])/Tabela2[[#This Row],[Saídas]],)</f>
        <v>2875</v>
      </c>
      <c r="H6" s="6">
        <f>Tabela2[[#This Row],[Estoque Atual]]*Tabela2[[#This Row],[Valor Médio Unitário Compra]]</f>
        <v>1846.1538461538462</v>
      </c>
      <c r="I6" s="9"/>
    </row>
    <row r="7" spans="1:12" x14ac:dyDescent="0.25">
      <c r="A7" t="s">
        <v>10</v>
      </c>
      <c r="B7" s="2">
        <v>0</v>
      </c>
      <c r="C7" s="2">
        <f>SUMIFS('Movimentação EntradaSaída'!E:E,'Movimentação EntradaSaída'!B:B,Parâmetros!$A$2,'Movimentação EntradaSaída'!C:C,Tabela2[[#This Row],[Produto]])</f>
        <v>5</v>
      </c>
      <c r="D7" s="2">
        <f>SUMIFS('Movimentação EntradaSaída'!E:E,'Movimentação EntradaSaída'!B:B,Parâmetros!$A$3,'Movimentação EntradaSaída'!C:C,Tabela2[[#This Row],[Produto]])</f>
        <v>1</v>
      </c>
      <c r="E7" s="2">
        <f>Tabela2[[#This Row],[Entradas]]-Tabela2[[#This Row],[Saídas]]+Tabela2[[#This Row],[Estoque Inicial]]</f>
        <v>4</v>
      </c>
      <c r="F7" s="6">
        <f>IFERROR(SUMIFS('Movimentação EntradaSaída'!F:F,'Movimentação EntradaSaída'!B:B,Parâmetros!$A$2,'Movimentação EntradaSaída'!C:C,Tabela2[[#This Row],[Produto]])/Tabela2[[#This Row],[Entradas]],)</f>
        <v>5000</v>
      </c>
      <c r="G7" s="6">
        <f>IFERROR(SUMIFS('Movimentação EntradaSaída'!F:F,'Movimentação EntradaSaída'!B:B,Parâmetros!$A$3,'Movimentação EntradaSaída'!C:C,Tabela2[[#This Row],[Produto]])/Tabela2[[#This Row],[Saídas]],)</f>
        <v>4500</v>
      </c>
      <c r="H7" s="6">
        <f>Tabela2[[#This Row],[Estoque Atual]]*Tabela2[[#This Row],[Valor Médio Unitário Compra]]</f>
        <v>20000</v>
      </c>
    </row>
  </sheetData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E3984C-8F82-41B8-9C3B-3CB7F52CB195}">
          <x14:formula1>
            <xm:f>Produtos!$A$5:$A$15</xm:f>
          </x14:formula1>
          <xm:sqref>A6:A7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C4113-12E6-420C-91DA-F7754AE46A14}">
  <sheetPr>
    <tabColor rgb="FF7030A0"/>
  </sheetPr>
  <dimension ref="A1:R14"/>
  <sheetViews>
    <sheetView showGridLines="0" workbookViewId="0"/>
  </sheetViews>
  <sheetFormatPr defaultRowHeight="15" x14ac:dyDescent="0.25"/>
  <cols>
    <col min="1" max="4" width="26.7109375" customWidth="1"/>
  </cols>
  <sheetData>
    <row r="1" spans="1:18" ht="50.2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</row>
    <row r="2" spans="1:18" ht="6.75" customHeight="1" x14ac:dyDescent="0.25"/>
    <row r="3" spans="1:18" ht="36" x14ac:dyDescent="0.55000000000000004">
      <c r="A3" s="44" t="s">
        <v>44</v>
      </c>
      <c r="B3" s="44"/>
      <c r="C3" s="44"/>
      <c r="D3" s="44"/>
    </row>
    <row r="4" spans="1:18" ht="8.25" customHeight="1" x14ac:dyDescent="0.25"/>
    <row r="5" spans="1:18" ht="15.75" x14ac:dyDescent="0.25">
      <c r="A5" s="7" t="s">
        <v>45</v>
      </c>
      <c r="B5" s="7" t="s">
        <v>46</v>
      </c>
      <c r="C5" s="7" t="s">
        <v>47</v>
      </c>
      <c r="D5" s="7" t="s">
        <v>0</v>
      </c>
    </row>
    <row r="6" spans="1:18" x14ac:dyDescent="0.25">
      <c r="A6" t="s">
        <v>49</v>
      </c>
      <c r="B6" t="s">
        <v>50</v>
      </c>
      <c r="C6">
        <v>44999168055</v>
      </c>
      <c r="D6" s="2" t="s">
        <v>42</v>
      </c>
    </row>
    <row r="7" spans="1:18" x14ac:dyDescent="0.25">
      <c r="A7" t="s">
        <v>54</v>
      </c>
      <c r="B7" t="s">
        <v>55</v>
      </c>
      <c r="D7" s="2" t="s">
        <v>48</v>
      </c>
    </row>
    <row r="8" spans="1:18" x14ac:dyDescent="0.25">
      <c r="A8" t="s">
        <v>68</v>
      </c>
      <c r="D8" s="2" t="s">
        <v>57</v>
      </c>
    </row>
    <row r="9" spans="1:18" x14ac:dyDescent="0.25">
      <c r="A9" t="s">
        <v>70</v>
      </c>
      <c r="D9" s="2" t="s">
        <v>57</v>
      </c>
    </row>
    <row r="10" spans="1:18" x14ac:dyDescent="0.25">
      <c r="A10" t="s">
        <v>59</v>
      </c>
      <c r="D10" s="2" t="s">
        <v>57</v>
      </c>
    </row>
    <row r="11" spans="1:18" x14ac:dyDescent="0.25">
      <c r="A11" t="s">
        <v>60</v>
      </c>
      <c r="D11" s="2" t="s">
        <v>61</v>
      </c>
    </row>
    <row r="12" spans="1:18" x14ac:dyDescent="0.25">
      <c r="A12" t="s">
        <v>62</v>
      </c>
      <c r="D12" s="2" t="s">
        <v>61</v>
      </c>
    </row>
    <row r="13" spans="1:18" x14ac:dyDescent="0.25">
      <c r="A13" t="s">
        <v>73</v>
      </c>
      <c r="D13" s="2" t="s">
        <v>48</v>
      </c>
    </row>
    <row r="14" spans="1:18" x14ac:dyDescent="0.25">
      <c r="A14" t="s">
        <v>74</v>
      </c>
      <c r="D14" s="2" t="s">
        <v>48</v>
      </c>
    </row>
  </sheetData>
  <mergeCells count="1">
    <mergeCell ref="A3:D3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C9B862-46CF-4705-9E15-1DED2E6A1C2E}">
          <x14:formula1>
            <xm:f>Parâmetros!$J:$J</xm:f>
          </x14:formula1>
          <xm:sqref>D6:D14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84DBB-F53C-49BD-B179-2A71BDF58287}">
  <sheetPr>
    <tabColor theme="5"/>
  </sheetPr>
  <dimension ref="A1:M7"/>
  <sheetViews>
    <sheetView showGridLines="0" workbookViewId="0">
      <selection activeCell="D10" sqref="D10"/>
    </sheetView>
  </sheetViews>
  <sheetFormatPr defaultRowHeight="15" x14ac:dyDescent="0.25"/>
  <cols>
    <col min="1" max="13" width="26.7109375" customWidth="1"/>
  </cols>
  <sheetData>
    <row r="1" spans="1:13" ht="45.75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6.75" customHeight="1" x14ac:dyDescent="0.25"/>
    <row r="3" spans="1:13" ht="36" x14ac:dyDescent="0.55000000000000004">
      <c r="A3" s="44" t="s">
        <v>88</v>
      </c>
      <c r="B3" s="44"/>
      <c r="C3" s="44"/>
      <c r="D3" s="44"/>
    </row>
    <row r="5" spans="1:13" x14ac:dyDescent="0.25">
      <c r="A5" s="1" t="s">
        <v>3</v>
      </c>
      <c r="B5" s="2" t="s">
        <v>89</v>
      </c>
      <c r="C5" s="2" t="s">
        <v>91</v>
      </c>
      <c r="D5" s="2" t="s">
        <v>90</v>
      </c>
    </row>
    <row r="6" spans="1:13" x14ac:dyDescent="0.25">
      <c r="A6" t="s">
        <v>11</v>
      </c>
      <c r="B6" s="5">
        <v>1500</v>
      </c>
      <c r="C6" s="23">
        <f>Parâmetros!$N$2</f>
        <v>0.6</v>
      </c>
      <c r="D6" s="5">
        <f>Tabela4[[#This Row],[Valor Custo]]*Tabela4[[#This Row],[Margem]]+Tabela4[[#This Row],[Valor Custo]]</f>
        <v>2400</v>
      </c>
    </row>
    <row r="7" spans="1:13" x14ac:dyDescent="0.25">
      <c r="A7" t="s">
        <v>10</v>
      </c>
      <c r="B7" s="5"/>
      <c r="C7" s="23">
        <f>Parâmetros!$N$2</f>
        <v>0.6</v>
      </c>
      <c r="D7" s="5">
        <f>Tabela4[[#This Row],[Valor Custo]]*Tabela4[[#This Row],[Margem]]+Tabela4[[#This Row],[Valor Custo]]</f>
        <v>0</v>
      </c>
    </row>
  </sheetData>
  <mergeCells count="1">
    <mergeCell ref="A3:D3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1D3A9-F1E8-4F19-9AB1-1C9A094D791F}">
  <sheetPr>
    <tabColor rgb="FF00B050"/>
  </sheetPr>
  <dimension ref="A1:N14"/>
  <sheetViews>
    <sheetView workbookViewId="0">
      <selection activeCell="N3" sqref="N3"/>
    </sheetView>
  </sheetViews>
  <sheetFormatPr defaultRowHeight="15" x14ac:dyDescent="0.25"/>
  <cols>
    <col min="1" max="1" width="12.85546875" bestFit="1" customWidth="1"/>
    <col min="4" max="4" width="22.42578125" bestFit="1" customWidth="1"/>
    <col min="6" max="6" width="24" bestFit="1" customWidth="1"/>
    <col min="8" max="8" width="17.28515625" bestFit="1" customWidth="1"/>
    <col min="10" max="10" width="18.7109375" bestFit="1" customWidth="1"/>
    <col min="12" max="12" width="11.85546875" bestFit="1" customWidth="1"/>
    <col min="14" max="14" width="22.85546875" bestFit="1" customWidth="1"/>
  </cols>
  <sheetData>
    <row r="1" spans="1:14" x14ac:dyDescent="0.25">
      <c r="A1" s="1" t="s">
        <v>0</v>
      </c>
      <c r="D1" s="1" t="s">
        <v>30</v>
      </c>
      <c r="F1" s="1" t="s">
        <v>29</v>
      </c>
      <c r="H1" s="1" t="s">
        <v>32</v>
      </c>
      <c r="J1" s="1" t="s">
        <v>43</v>
      </c>
      <c r="L1" s="1" t="s">
        <v>57</v>
      </c>
      <c r="N1" s="1" t="s">
        <v>95</v>
      </c>
    </row>
    <row r="2" spans="1:14" x14ac:dyDescent="0.25">
      <c r="A2" t="s">
        <v>1</v>
      </c>
      <c r="D2" t="s">
        <v>18</v>
      </c>
      <c r="F2" t="s">
        <v>31</v>
      </c>
      <c r="H2" t="s">
        <v>33</v>
      </c>
      <c r="J2" t="s">
        <v>42</v>
      </c>
      <c r="L2" t="s">
        <v>68</v>
      </c>
      <c r="N2" s="24">
        <v>0.6</v>
      </c>
    </row>
    <row r="3" spans="1:14" x14ac:dyDescent="0.25">
      <c r="A3" t="s">
        <v>2</v>
      </c>
      <c r="D3" t="s">
        <v>19</v>
      </c>
      <c r="F3" t="s">
        <v>65</v>
      </c>
      <c r="H3" t="s">
        <v>34</v>
      </c>
      <c r="J3" t="s">
        <v>48</v>
      </c>
      <c r="L3" t="s">
        <v>69</v>
      </c>
    </row>
    <row r="4" spans="1:14" x14ac:dyDescent="0.25">
      <c r="D4" t="s">
        <v>20</v>
      </c>
      <c r="F4" t="s">
        <v>38</v>
      </c>
      <c r="H4" t="s">
        <v>35</v>
      </c>
      <c r="J4" t="s">
        <v>57</v>
      </c>
      <c r="L4" t="s">
        <v>59</v>
      </c>
    </row>
    <row r="5" spans="1:14" x14ac:dyDescent="0.25">
      <c r="D5" t="s">
        <v>21</v>
      </c>
      <c r="H5" t="s">
        <v>36</v>
      </c>
      <c r="J5" t="s">
        <v>61</v>
      </c>
    </row>
    <row r="6" spans="1:14" x14ac:dyDescent="0.25">
      <c r="D6" t="s">
        <v>22</v>
      </c>
      <c r="H6" t="s">
        <v>37</v>
      </c>
    </row>
    <row r="7" spans="1:14" x14ac:dyDescent="0.25">
      <c r="D7" t="s">
        <v>23</v>
      </c>
    </row>
    <row r="8" spans="1:14" x14ac:dyDescent="0.25">
      <c r="D8" t="s">
        <v>24</v>
      </c>
    </row>
    <row r="9" spans="1:14" x14ac:dyDescent="0.25">
      <c r="D9" t="s">
        <v>25</v>
      </c>
    </row>
    <row r="10" spans="1:14" x14ac:dyDescent="0.25">
      <c r="D10" t="s">
        <v>26</v>
      </c>
    </row>
    <row r="11" spans="1:14" x14ac:dyDescent="0.25">
      <c r="D11" t="s">
        <v>27</v>
      </c>
    </row>
    <row r="12" spans="1:14" x14ac:dyDescent="0.25">
      <c r="D12" t="s">
        <v>28</v>
      </c>
    </row>
    <row r="13" spans="1:14" x14ac:dyDescent="0.25">
      <c r="D13" t="s">
        <v>99</v>
      </c>
    </row>
    <row r="14" spans="1:14" x14ac:dyDescent="0.25">
      <c r="D14" t="s">
        <v>100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Pagamentos Recebimentos</vt:lpstr>
      <vt:lpstr>Movimentação EntradaSaída</vt:lpstr>
      <vt:lpstr>MovimentoCaixa</vt:lpstr>
      <vt:lpstr>MovimentoEstoque</vt:lpstr>
      <vt:lpstr>Dashboard</vt:lpstr>
      <vt:lpstr>Estoque</vt:lpstr>
      <vt:lpstr>Cliente-Fornecedor</vt:lpstr>
      <vt:lpstr>Produtos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dcterms:created xsi:type="dcterms:W3CDTF">2023-10-14T22:26:27Z</dcterms:created>
  <dcterms:modified xsi:type="dcterms:W3CDTF">2023-10-28T18:44:50Z</dcterms:modified>
</cp:coreProperties>
</file>